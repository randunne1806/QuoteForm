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2.xml" ContentType="application/vnd.openxmlformats-officedocument.drawing+xml"/>
  <Override PartName="/xl/activeX/activeX44.xml" ContentType="application/vnd.ms-office.activeX+xml"/>
  <Override PartName="/xl/activeX/activeX44.bin" ContentType="application/vnd.ms-office.activeX"/>
  <Override PartName="/xl/drawings/drawing3.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4.xml" ContentType="application/vnd.openxmlformats-officedocument.drawing+xml"/>
  <Override PartName="/xl/activeX/activeX79.xml" ContentType="application/vnd.ms-office.activeX+xml"/>
  <Override PartName="/xl/activeX/activeX79.bin" ContentType="application/vnd.ms-office.activeX"/>
  <Override PartName="/xl/drawings/drawing5.xml" ContentType="application/vnd.openxmlformats-officedocument.drawing+xml"/>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drawings/drawing6.xml" ContentType="application/vnd.openxmlformats-officedocument.drawing+xml"/>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drawings/drawing8.xml" ContentType="application/vnd.openxmlformats-officedocument.drawing+xml"/>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drawings/drawing9.xml" ContentType="application/vnd.openxmlformats-officedocument.drawing+xml"/>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drawings/drawing10.xml" ContentType="application/vnd.openxmlformats-officedocument.drawing+xml"/>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srandunne\Quote Form\"/>
    </mc:Choice>
  </mc:AlternateContent>
  <xr:revisionPtr revIDLastSave="0" documentId="13_ncr:1_{E028D28D-9820-49FC-9E17-D99A688AA380}" xr6:coauthVersionLast="47" xr6:coauthVersionMax="47" xr10:uidLastSave="{00000000-0000-0000-0000-000000000000}"/>
  <workbookProtection lockStructure="1"/>
  <bookViews>
    <workbookView xWindow="-110" yWindow="-110" windowWidth="19420" windowHeight="10420" xr2:uid="{00000000-000D-0000-FFFF-FFFF00000000}"/>
  </bookViews>
  <sheets>
    <sheet name="Quote" sheetId="1" r:id="rId1"/>
    <sheet name="QC-Xsec" sheetId="30" state="hidden" r:id="rId2"/>
    <sheet name="FA Report" sheetId="22" r:id="rId3"/>
    <sheet name="Sheet2" sheetId="2" state="hidden" r:id="rId4"/>
    <sheet name="Sheet3" sheetId="3" state="hidden" r:id="rId5"/>
    <sheet name="kwickfit" sheetId="9" r:id="rId6"/>
    <sheet name="Order" sheetId="5" r:id="rId7"/>
    <sheet name="Gold Pricing" sheetId="4" state="hidden" r:id="rId8"/>
    <sheet name="Formal Quote" sheetId="18" state="hidden" r:id="rId9"/>
    <sheet name="Formal Quote (3)" sheetId="32" r:id="rId10"/>
    <sheet name="Formal Quote (2)" sheetId="31" r:id="rId11"/>
    <sheet name="Stack-Up" sheetId="19" r:id="rId12"/>
    <sheet name="Configuration" sheetId="29" state="hidden" r:id="rId13"/>
  </sheets>
  <externalReferences>
    <externalReference r:id="rId14"/>
  </externalReferences>
  <definedNames>
    <definedName name="Array_X">Configuration!$A$4</definedName>
    <definedName name="Array_Y">Configuration!$B$4</definedName>
    <definedName name="Arrays_per_panel">ups/IF(Quote!$B$8=0,1,Quote!$B$8)</definedName>
    <definedName name="aspect_ratio">Quote!$B$37*Quote!$B$23</definedName>
    <definedName name="Board_X">Configuration!$A$2</definedName>
    <definedName name="Board_Y">Configuration!$B$2</definedName>
    <definedName name="dielectric_count">CHOOSE(Sheet2!$C$9,1,1,1,2,3,3,4,5,7,9,11,13,15,17,19)</definedName>
    <definedName name="flat_adder">Quote!$J$20:$J$70</definedName>
    <definedName name="Inner_Cu">Configuration!$C$2</definedName>
    <definedName name="Layer_count">CHOOSE(Sheet2!$C$9,1,1,2,2,3,4,4,6,8,10,12,14,16,18,20)</definedName>
    <definedName name="Material_Type" localSheetId="2">"170HT"</definedName>
    <definedName name="Material_Type">Configuration!$E$2</definedName>
    <definedName name="Min_Adder" localSheetId="7">'[1]Quote Worksheet'!$E$15:$E$41</definedName>
    <definedName name="min_adder">Quote!$I$20:$I$70</definedName>
    <definedName name="Multilayer">Configuration!$B$24</definedName>
    <definedName name="Outer_Cu" localSheetId="2">2</definedName>
    <definedName name="Outer_Cu">Configuration!$D$2</definedName>
    <definedName name="per_panel">Quote!$H$20:$H$70</definedName>
    <definedName name="per_piece">Quote!$G$20:$G$70</definedName>
    <definedName name="percent_adder" localSheetId="7">'[1]Excel Quote Details'!$B$32</definedName>
    <definedName name="percent_adder">Quote!$K$20:$K$70</definedName>
    <definedName name="_xlnm.Print_Area" localSheetId="2">'FA Report'!$B$1:$C$27</definedName>
    <definedName name="_xlnm.Print_Area" localSheetId="8">'Formal Quote'!$A$1:$J$70</definedName>
    <definedName name="_xlnm.Print_Area" localSheetId="10">'Formal Quote (2)'!$A$1:$J$70</definedName>
    <definedName name="_xlnm.Print_Area" localSheetId="9">'Formal Quote (3)'!$A$1:$J$70</definedName>
    <definedName name="_xlnm.Print_Area" localSheetId="7">'Gold Pricing'!$A$1:$K$30</definedName>
    <definedName name="_xlnm.Print_Area" localSheetId="5">kwickfit!$A$2</definedName>
    <definedName name="_xlnm.Print_Area" localSheetId="6">Order!$A$1:$M$35</definedName>
    <definedName name="_xlnm.Print_Area" localSheetId="0">Quote!$A$1:$L$70</definedName>
    <definedName name="_xlnm.Print_Area" localSheetId="3">Sheet2!$A$1:$AQ$108</definedName>
    <definedName name="_xlnm.Print_Area" localSheetId="4">Sheet3!$A$1:$Q$29</definedName>
    <definedName name="_xlnm.Print_Area" localSheetId="11">'Stack-Up'!$B$3:$M$59</definedName>
    <definedName name="qty_eight">SUM(IF((per_piece*(Quote!$C$11))+per_panel*(Quote!$C$11/ups)&gt;min_adder,(per_piece*(Quote!$C$11))+per_panel*(Quote!$C$11/ups), min_adder))</definedName>
    <definedName name="qty_five">SUM(IF((per_piece*(Quote!$C$8))+per_panel*(Quote!$C$8/ups)&gt;min_adder,(per_piece*(Quote!$C$8))+per_panel*(Quote!$C$8/ups), min_adder))</definedName>
    <definedName name="qty_four">SUM(IF((per_piece*(Quote!$C$7))+per_panel*(Quote!$C$7/ups)&gt;min_adder,(per_piece*(Quote!$C$7))+per_panel*(Quote!$C$7/ups), min_adder))</definedName>
    <definedName name="qty_one">SUM(IF((per_piece*(Quote!$C$4))+per_panel*(Quote!$C$4/ups)&gt;min_adder,(per_piece*(Quote!$C$4))+per_panel*(Quote!$C$4/ups), min_adder))</definedName>
    <definedName name="qty_seven">SUM(IF((per_piece*(Quote!$C$10))+per_panel*(Quote!$C$10/ups)&gt;min_adder,(per_piece*(Quote!$C$10))+per_panel*(Quote!$C$10/ups), min_adder))</definedName>
    <definedName name="qty_six">SUM(IF((per_piece*(Quote!$C$9))+per_panel*(Quote!$C$9/ups)&gt;min_adder,(per_piece*(Quote!$C$9))+per_panel*(Quote!$C$9/ups), min_adder))</definedName>
    <definedName name="qty_three">SUM(IF((per_piece*(Quote!$C$6))+per_panel*(Quote!$C$6/ups)&gt;min_adder,(per_piece*(Quote!$C$6))+per_panel*(Quote!$C$6/ups), min_adder))</definedName>
    <definedName name="qty_two">SUM(IF((per_piece*(Quote!$C$5))+per_panel*(Quote!$C$5/ups)&gt;min_adder,(per_piece*(Quote!$C$5))+per_panel*(Quote!$C$5/ups), min_adder))</definedName>
    <definedName name="test">SUM(IF((Sheet3!XFC5:XFC8*Sheet3!XFC1+Sheet3!XFD5:XFD8)&gt;Sheet3!A5:A8,(Sheet3!XFC5:XFC8*Sheet3!XFC1+Sheet3!XFD5:XFD8),Sheet3!A5:A8))</definedName>
    <definedName name="test_range">Sheet3!$H$23:$H$25</definedName>
    <definedName name="Test_Type">CHOOSE(Sheet2!$AJ$9,"Electrical Test: Flying Probe", "Electrical Test: Test Fixture", "Electrical Test: Test Fixture", "Electrical Test: Test Fixture", "Electrical Test: None")</definedName>
    <definedName name="Thickness">Configuration!$C$4</definedName>
    <definedName name="tooling">Quote!$L$20:$L$65</definedName>
    <definedName name="ups">Quote!$B$7</definedName>
    <definedName name="Via_Plug">Configuration!$B$28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U17" i="3" l="1"/>
  <c r="V17" i="3"/>
  <c r="W17" i="3"/>
  <c r="X17" i="3"/>
  <c r="Y17" i="3"/>
  <c r="Z17" i="3"/>
  <c r="AA17" i="3"/>
  <c r="AB17" i="3"/>
  <c r="AC17" i="3"/>
  <c r="AD17" i="3"/>
  <c r="AE17" i="3"/>
  <c r="AF17" i="3"/>
  <c r="AG17" i="3"/>
  <c r="AH17" i="3"/>
  <c r="AI17" i="3"/>
  <c r="U18" i="3"/>
  <c r="V18" i="3"/>
  <c r="W18" i="3"/>
  <c r="X18" i="3"/>
  <c r="Y18" i="3"/>
  <c r="Z18" i="3"/>
  <c r="AA18" i="3"/>
  <c r="AB18" i="3"/>
  <c r="AC18" i="3"/>
  <c r="AD18" i="3"/>
  <c r="AE18" i="3"/>
  <c r="AF18" i="3"/>
  <c r="AG18" i="3"/>
  <c r="AH18" i="3"/>
  <c r="AI18" i="3"/>
  <c r="U19" i="3"/>
  <c r="V19" i="3"/>
  <c r="W19" i="3"/>
  <c r="X19" i="3"/>
  <c r="Y19" i="3"/>
  <c r="Z19" i="3"/>
  <c r="AA19" i="3"/>
  <c r="AB19" i="3"/>
  <c r="AC19" i="3"/>
  <c r="AD19" i="3"/>
  <c r="AE19" i="3"/>
  <c r="AF19" i="3"/>
  <c r="AG19" i="3"/>
  <c r="AH19" i="3"/>
  <c r="AI19" i="3"/>
  <c r="U20" i="3"/>
  <c r="V20" i="3"/>
  <c r="W20" i="3"/>
  <c r="X20" i="3"/>
  <c r="Y20" i="3"/>
  <c r="Z20" i="3"/>
  <c r="AA20" i="3"/>
  <c r="AB20" i="3"/>
  <c r="AC20" i="3"/>
  <c r="AD20" i="3"/>
  <c r="AE20" i="3"/>
  <c r="AF20" i="3"/>
  <c r="AG20" i="3"/>
  <c r="AH20" i="3"/>
  <c r="AI20" i="3"/>
  <c r="U21" i="3"/>
  <c r="V21" i="3"/>
  <c r="W21" i="3"/>
  <c r="X21" i="3"/>
  <c r="Y21" i="3"/>
  <c r="Z21" i="3"/>
  <c r="AA21" i="3"/>
  <c r="AB21" i="3"/>
  <c r="AC21" i="3"/>
  <c r="AD21" i="3"/>
  <c r="AE21" i="3"/>
  <c r="AF21" i="3"/>
  <c r="AG21" i="3"/>
  <c r="AH21" i="3"/>
  <c r="AI21" i="3"/>
  <c r="U22" i="3"/>
  <c r="V22" i="3"/>
  <c r="W22" i="3"/>
  <c r="X22" i="3"/>
  <c r="Y22" i="3"/>
  <c r="Z22" i="3"/>
  <c r="AA22" i="3"/>
  <c r="AB22" i="3"/>
  <c r="AC22" i="3"/>
  <c r="AD22" i="3"/>
  <c r="AE22" i="3"/>
  <c r="AF22" i="3"/>
  <c r="AG22" i="3"/>
  <c r="AH22" i="3"/>
  <c r="AI22" i="3"/>
  <c r="U23" i="3"/>
  <c r="V23" i="3"/>
  <c r="W23" i="3"/>
  <c r="X23" i="3"/>
  <c r="Y23" i="3"/>
  <c r="Z23" i="3"/>
  <c r="AA23" i="3"/>
  <c r="AB23" i="3"/>
  <c r="AC23" i="3"/>
  <c r="AD23" i="3"/>
  <c r="AE23" i="3"/>
  <c r="AF23" i="3"/>
  <c r="AG23" i="3"/>
  <c r="AH23" i="3"/>
  <c r="AI23" i="3"/>
  <c r="V16" i="3"/>
  <c r="W16" i="3"/>
  <c r="X16" i="3"/>
  <c r="Y16" i="3"/>
  <c r="Z16" i="3"/>
  <c r="AA16" i="3"/>
  <c r="AB16" i="3"/>
  <c r="AC16" i="3"/>
  <c r="AD16" i="3"/>
  <c r="AE16" i="3"/>
  <c r="AF16" i="3"/>
  <c r="AG16" i="3"/>
  <c r="AH16" i="3"/>
  <c r="AI16" i="3"/>
  <c r="U16" i="3"/>
  <c r="W24" i="3"/>
  <c r="X24" i="3"/>
  <c r="Y24" i="3"/>
  <c r="Z24" i="3"/>
  <c r="AA24" i="3"/>
  <c r="AB24" i="3"/>
  <c r="AC24" i="3"/>
  <c r="AD24" i="3"/>
  <c r="AE24" i="3"/>
  <c r="AF24" i="3"/>
  <c r="AG24" i="3"/>
  <c r="AH24" i="3"/>
  <c r="G48" i="2"/>
  <c r="G49" i="2"/>
  <c r="C57" i="18" l="1"/>
  <c r="AH34" i="2" l="1"/>
  <c r="AH33" i="2"/>
  <c r="B28" i="29" l="1"/>
  <c r="B25" i="29"/>
  <c r="B24" i="29"/>
  <c r="H24" i="29"/>
  <c r="H15" i="5" l="1"/>
  <c r="G26" i="3" l="1"/>
  <c r="E14" i="18" l="1"/>
  <c r="E23" i="18"/>
  <c r="E32" i="18"/>
  <c r="E41" i="18"/>
  <c r="AH102" i="2" l="1"/>
  <c r="AH101" i="2"/>
  <c r="AH100" i="2"/>
  <c r="AH99" i="2"/>
  <c r="AH98" i="2"/>
  <c r="AH9" i="2"/>
  <c r="G25" i="3"/>
  <c r="G24" i="3"/>
  <c r="G23" i="3"/>
  <c r="AM9" i="2" l="1"/>
  <c r="I32" i="1" l="1"/>
  <c r="I31" i="1"/>
  <c r="I30" i="1"/>
  <c r="B2" i="22" l="1"/>
  <c r="C56" i="18" l="1"/>
  <c r="C58" i="18" l="1"/>
  <c r="B58" i="18"/>
  <c r="B6" i="18" l="1"/>
  <c r="C12" i="18"/>
  <c r="J67" i="18"/>
  <c r="D9" i="4" l="1"/>
  <c r="F41" i="18" l="1"/>
  <c r="F32" i="18"/>
  <c r="F14" i="18"/>
  <c r="F23" i="18"/>
  <c r="D13" i="4"/>
  <c r="D8" i="4"/>
  <c r="D7" i="4"/>
  <c r="F20" i="4"/>
  <c r="G66" i="2" s="1"/>
  <c r="F52" i="18"/>
  <c r="AC59" i="19"/>
  <c r="AB59" i="19"/>
  <c r="AA59" i="19"/>
  <c r="Y59" i="19"/>
  <c r="X59" i="19"/>
  <c r="W59" i="19"/>
  <c r="U59" i="19"/>
  <c r="T59" i="19"/>
  <c r="S59" i="19"/>
  <c r="Q59" i="19"/>
  <c r="P59" i="19"/>
  <c r="O59" i="19"/>
  <c r="M59" i="19"/>
  <c r="L59" i="19"/>
  <c r="K59" i="19"/>
  <c r="AC58" i="19" a="1"/>
  <c r="AC58" i="19" s="1"/>
  <c r="Y58" i="19" a="1"/>
  <c r="Y58" i="19" s="1"/>
  <c r="U58" i="19" a="1"/>
  <c r="U58" i="19" s="1"/>
  <c r="Q58" i="19" a="1"/>
  <c r="Q58" i="19" s="1"/>
  <c r="AA57" i="19"/>
  <c r="AC57" i="19" s="1"/>
  <c r="W57" i="19"/>
  <c r="X57" i="19" s="1"/>
  <c r="S57" i="19"/>
  <c r="U57" i="19" s="1"/>
  <c r="O57" i="19"/>
  <c r="P57" i="19" s="1"/>
  <c r="K57" i="19"/>
  <c r="M57" i="19" s="1"/>
  <c r="AA56" i="19"/>
  <c r="AB56" i="19" s="1"/>
  <c r="W56" i="19"/>
  <c r="Y56" i="19" s="1"/>
  <c r="S56" i="19"/>
  <c r="T56" i="19" s="1"/>
  <c r="O56" i="19"/>
  <c r="Q56" i="19" s="1"/>
  <c r="K56" i="19"/>
  <c r="L56" i="19" s="1"/>
  <c r="AA55" i="19"/>
  <c r="AC55" i="19" s="1"/>
  <c r="W55" i="19"/>
  <c r="X55" i="19" s="1"/>
  <c r="S55" i="19"/>
  <c r="U55" i="19" s="1"/>
  <c r="O55" i="19"/>
  <c r="P55" i="19" s="1"/>
  <c r="K55" i="19"/>
  <c r="M55" i="19" s="1"/>
  <c r="AC54" i="19" a="1"/>
  <c r="AC54" i="19" s="1"/>
  <c r="Y54" i="19" a="1"/>
  <c r="Y54" i="19" s="1"/>
  <c r="U54" i="19" a="1"/>
  <c r="U54" i="19" s="1"/>
  <c r="Q54" i="19" a="1"/>
  <c r="Q54" i="19" s="1"/>
  <c r="AA53" i="19"/>
  <c r="AB53" i="19" s="1"/>
  <c r="W53" i="19"/>
  <c r="Y53" i="19" s="1"/>
  <c r="S53" i="19"/>
  <c r="T53" i="19" s="1"/>
  <c r="O53" i="19"/>
  <c r="Q53" i="19" s="1"/>
  <c r="K53" i="19"/>
  <c r="AA52" i="19"/>
  <c r="AC52" i="19" s="1"/>
  <c r="W52" i="19"/>
  <c r="X52" i="19" s="1"/>
  <c r="S52" i="19"/>
  <c r="U52" i="19" s="1"/>
  <c r="O52" i="19"/>
  <c r="P52" i="19" s="1"/>
  <c r="K52" i="19"/>
  <c r="M52" i="19" s="1"/>
  <c r="AA51" i="19"/>
  <c r="AB51" i="19" s="1"/>
  <c r="W51" i="19"/>
  <c r="Y51" i="19" s="1"/>
  <c r="S51" i="19"/>
  <c r="T51" i="19" s="1"/>
  <c r="O51" i="19"/>
  <c r="Q51" i="19" s="1"/>
  <c r="K51" i="19"/>
  <c r="L51" i="19" s="1"/>
  <c r="AC50" i="19" a="1"/>
  <c r="AC50" i="19" s="1"/>
  <c r="Y50" i="19" a="1"/>
  <c r="Y50" i="19" s="1"/>
  <c r="U50" i="19" a="1"/>
  <c r="U50" i="19" s="1"/>
  <c r="Q50" i="19" a="1"/>
  <c r="Q50" i="19" s="1"/>
  <c r="AA49" i="19"/>
  <c r="AC49" i="19" s="1"/>
  <c r="W49" i="19"/>
  <c r="X49" i="19" s="1"/>
  <c r="S49" i="19"/>
  <c r="U49" i="19" s="1"/>
  <c r="O49" i="19"/>
  <c r="P49" i="19" s="1"/>
  <c r="K49" i="19"/>
  <c r="M49" i="19" s="1"/>
  <c r="AA48" i="19"/>
  <c r="AB48" i="19" s="1"/>
  <c r="W48" i="19"/>
  <c r="Y48" i="19" s="1"/>
  <c r="S48" i="19"/>
  <c r="T48" i="19" s="1"/>
  <c r="O48" i="19"/>
  <c r="Q48" i="19" s="1"/>
  <c r="K48" i="19"/>
  <c r="L48" i="19" s="1"/>
  <c r="AA47" i="19"/>
  <c r="AC47" i="19" s="1"/>
  <c r="W47" i="19"/>
  <c r="X47" i="19" s="1"/>
  <c r="S47" i="19"/>
  <c r="U47" i="19" s="1"/>
  <c r="O47" i="19"/>
  <c r="P47" i="19" s="1"/>
  <c r="K47" i="19"/>
  <c r="M47" i="19" s="1"/>
  <c r="AC46" i="19" a="1"/>
  <c r="AC46" i="19" s="1"/>
  <c r="Y46" i="19" a="1"/>
  <c r="Y46" i="19" s="1"/>
  <c r="U46" i="19" a="1"/>
  <c r="U46" i="19" s="1"/>
  <c r="Q46" i="19" a="1"/>
  <c r="Q46" i="19" s="1"/>
  <c r="AA45" i="19"/>
  <c r="AB45" i="19" s="1"/>
  <c r="W45" i="19"/>
  <c r="Y45" i="19" s="1"/>
  <c r="S45" i="19"/>
  <c r="T45" i="19" s="1"/>
  <c r="O45" i="19"/>
  <c r="Q45" i="19" s="1"/>
  <c r="K45" i="19"/>
  <c r="AA44" i="19"/>
  <c r="AC44" i="19" s="1"/>
  <c r="W44" i="19"/>
  <c r="X44" i="19" s="1"/>
  <c r="S44" i="19"/>
  <c r="U44" i="19" s="1"/>
  <c r="O44" i="19"/>
  <c r="P44" i="19" s="1"/>
  <c r="K44" i="19"/>
  <c r="M44" i="19" s="1"/>
  <c r="AA43" i="19"/>
  <c r="AB43" i="19" s="1"/>
  <c r="W43" i="19"/>
  <c r="Y43" i="19" s="1"/>
  <c r="S43" i="19"/>
  <c r="T43" i="19" s="1"/>
  <c r="O43" i="19"/>
  <c r="Q43" i="19" s="1"/>
  <c r="K43" i="19"/>
  <c r="L43" i="19" s="1"/>
  <c r="AC42" i="19" a="1"/>
  <c r="AC42" i="19" s="1"/>
  <c r="Y42" i="19" a="1"/>
  <c r="Y42" i="19" s="1"/>
  <c r="U42" i="19" a="1"/>
  <c r="U42" i="19" s="1"/>
  <c r="Q42" i="19" a="1"/>
  <c r="Q42" i="19" s="1"/>
  <c r="AA41" i="19"/>
  <c r="AC41" i="19" s="1"/>
  <c r="W41" i="19"/>
  <c r="X41" i="19" s="1"/>
  <c r="S41" i="19"/>
  <c r="U41" i="19" s="1"/>
  <c r="O41" i="19"/>
  <c r="P41" i="19" s="1"/>
  <c r="K41" i="19"/>
  <c r="M41" i="19" s="1"/>
  <c r="AA40" i="19"/>
  <c r="AB40" i="19" s="1"/>
  <c r="W40" i="19"/>
  <c r="Y40" i="19" s="1"/>
  <c r="S40" i="19"/>
  <c r="T40" i="19" s="1"/>
  <c r="O40" i="19"/>
  <c r="Q40" i="19" s="1"/>
  <c r="K40" i="19"/>
  <c r="L40" i="19" s="1"/>
  <c r="AA39" i="19"/>
  <c r="AC39" i="19" s="1"/>
  <c r="W39" i="19"/>
  <c r="X39" i="19" s="1"/>
  <c r="S39" i="19"/>
  <c r="U39" i="19" s="1"/>
  <c r="O39" i="19"/>
  <c r="P39" i="19" s="1"/>
  <c r="K39" i="19"/>
  <c r="M39" i="19" s="1"/>
  <c r="AC38" i="19" a="1"/>
  <c r="AC38" i="19" s="1"/>
  <c r="Y38" i="19" a="1"/>
  <c r="Y38" i="19" s="1"/>
  <c r="U38" i="19" a="1"/>
  <c r="U38" i="19" s="1"/>
  <c r="Q38" i="19" a="1"/>
  <c r="Q38" i="19" s="1"/>
  <c r="AA37" i="19"/>
  <c r="AB37" i="19" s="1"/>
  <c r="W37" i="19"/>
  <c r="Y37" i="19" s="1"/>
  <c r="S37" i="19"/>
  <c r="T37" i="19" s="1"/>
  <c r="O37" i="19"/>
  <c r="Q37" i="19" s="1"/>
  <c r="K37" i="19"/>
  <c r="AA36" i="19"/>
  <c r="AC36" i="19" s="1"/>
  <c r="W36" i="19"/>
  <c r="X36" i="19" s="1"/>
  <c r="S36" i="19"/>
  <c r="U36" i="19" s="1"/>
  <c r="O36" i="19"/>
  <c r="P36" i="19" s="1"/>
  <c r="K36" i="19"/>
  <c r="M36" i="19" s="1"/>
  <c r="AA35" i="19"/>
  <c r="AB35" i="19" s="1"/>
  <c r="W35" i="19"/>
  <c r="Y35" i="19" s="1"/>
  <c r="S35" i="19"/>
  <c r="T35" i="19" s="1"/>
  <c r="O35" i="19"/>
  <c r="Q35" i="19" s="1"/>
  <c r="K35" i="19"/>
  <c r="L35" i="19" s="1"/>
  <c r="AC34" i="19" a="1"/>
  <c r="AC34" i="19" s="1"/>
  <c r="Y34" i="19" a="1"/>
  <c r="Y34" i="19" s="1"/>
  <c r="U34" i="19" a="1"/>
  <c r="U34" i="19" s="1"/>
  <c r="Q34" i="19" a="1"/>
  <c r="Q34" i="19" s="1"/>
  <c r="AA33" i="19"/>
  <c r="AC33" i="19" s="1"/>
  <c r="W33" i="19"/>
  <c r="X33" i="19" s="1"/>
  <c r="S33" i="19"/>
  <c r="U33" i="19" s="1"/>
  <c r="O33" i="19"/>
  <c r="P33" i="19" s="1"/>
  <c r="K33" i="19"/>
  <c r="M33" i="19" s="1"/>
  <c r="AA32" i="19"/>
  <c r="AB32" i="19" s="1"/>
  <c r="W32" i="19"/>
  <c r="Y32" i="19" s="1"/>
  <c r="S32" i="19"/>
  <c r="T32" i="19" s="1"/>
  <c r="O32" i="19"/>
  <c r="Q32" i="19" s="1"/>
  <c r="K32" i="19"/>
  <c r="L32" i="19" s="1"/>
  <c r="AA31" i="19"/>
  <c r="AC31" i="19" s="1"/>
  <c r="W31" i="19"/>
  <c r="X31" i="19" s="1"/>
  <c r="S31" i="19"/>
  <c r="U31" i="19" s="1"/>
  <c r="O31" i="19"/>
  <c r="P31" i="19" s="1"/>
  <c r="K31" i="19"/>
  <c r="M31" i="19" s="1"/>
  <c r="AC30" i="19" a="1"/>
  <c r="AC30" i="19" s="1"/>
  <c r="Y30" i="19" a="1"/>
  <c r="Y30" i="19" s="1"/>
  <c r="U30" i="19" a="1"/>
  <c r="U30" i="19" s="1"/>
  <c r="Q30" i="19" a="1"/>
  <c r="Q30" i="19" s="1"/>
  <c r="AA29" i="19"/>
  <c r="AB29" i="19" s="1"/>
  <c r="W29" i="19"/>
  <c r="Y29" i="19" s="1"/>
  <c r="S29" i="19"/>
  <c r="T29" i="19" s="1"/>
  <c r="O29" i="19"/>
  <c r="Q29" i="19" s="1"/>
  <c r="K29" i="19"/>
  <c r="AA28" i="19"/>
  <c r="AC28" i="19" s="1"/>
  <c r="W28" i="19"/>
  <c r="X28" i="19" s="1"/>
  <c r="S28" i="19"/>
  <c r="U28" i="19" s="1"/>
  <c r="O28" i="19"/>
  <c r="P28" i="19" s="1"/>
  <c r="K28" i="19"/>
  <c r="M28" i="19" s="1"/>
  <c r="AA27" i="19"/>
  <c r="AB27" i="19" s="1"/>
  <c r="W27" i="19"/>
  <c r="Y27" i="19" s="1"/>
  <c r="S27" i="19"/>
  <c r="T27" i="19" s="1"/>
  <c r="O27" i="19"/>
  <c r="Q27" i="19" s="1"/>
  <c r="K27" i="19"/>
  <c r="L27" i="19" s="1"/>
  <c r="AC26" i="19" a="1"/>
  <c r="AC26" i="19" s="1"/>
  <c r="Y26" i="19" a="1"/>
  <c r="Y26" i="19" s="1"/>
  <c r="U26" i="19" a="1"/>
  <c r="U26" i="19" s="1"/>
  <c r="Q26" i="19" a="1"/>
  <c r="Q26" i="19" s="1"/>
  <c r="AC25" i="19"/>
  <c r="AB25" i="19"/>
  <c r="AA25" i="19"/>
  <c r="Y25" i="19"/>
  <c r="X25" i="19"/>
  <c r="W25" i="19"/>
  <c r="U25" i="19"/>
  <c r="T25" i="19"/>
  <c r="S25" i="19"/>
  <c r="Q25" i="19"/>
  <c r="P25" i="19"/>
  <c r="O25" i="19"/>
  <c r="M25" i="19"/>
  <c r="L25" i="19"/>
  <c r="K25" i="19"/>
  <c r="J19" i="19"/>
  <c r="I19" i="19"/>
  <c r="H19" i="19"/>
  <c r="G19" i="19"/>
  <c r="F19" i="19"/>
  <c r="J13" i="19"/>
  <c r="I13" i="19"/>
  <c r="H13" i="19"/>
  <c r="G13" i="19"/>
  <c r="F13" i="19"/>
  <c r="AB26" i="19" l="1" a="1"/>
  <c r="AB26" i="19" s="1"/>
  <c r="M54" i="19" a="1"/>
  <c r="M54" i="19" s="1"/>
  <c r="P58" i="19" a="1"/>
  <c r="P58" i="19" s="1"/>
  <c r="T58" i="19" a="1"/>
  <c r="X58" i="19" a="1"/>
  <c r="AB58" i="19" a="1"/>
  <c r="AB58" i="19" s="1"/>
  <c r="M26" i="19" a="1"/>
  <c r="M26" i="19" s="1"/>
  <c r="P26" i="19" a="1"/>
  <c r="T26" i="19" a="1"/>
  <c r="T26" i="19" s="1"/>
  <c r="X26" i="19" a="1"/>
  <c r="X26" i="19" s="1"/>
  <c r="AB30" i="19" a="1"/>
  <c r="AB30" i="19" s="1"/>
  <c r="P34" i="19" a="1"/>
  <c r="P34" i="19" s="1"/>
  <c r="T34" i="19" a="1"/>
  <c r="T34" i="19" s="1"/>
  <c r="X34" i="19" a="1"/>
  <c r="AB34" i="19" a="1"/>
  <c r="AB38" i="19" a="1"/>
  <c r="AB38" i="19" s="1"/>
  <c r="P42" i="19" a="1"/>
  <c r="P42" i="19" s="1"/>
  <c r="T42" i="19" a="1"/>
  <c r="X42" i="19" a="1"/>
  <c r="X42" i="19" s="1"/>
  <c r="AB42" i="19" a="1"/>
  <c r="AB42" i="19" s="1"/>
  <c r="AB46" i="19" a="1"/>
  <c r="AB46" i="19" s="1"/>
  <c r="P50" i="19" a="1"/>
  <c r="P50" i="19" s="1"/>
  <c r="T50" i="19" a="1"/>
  <c r="T50" i="19" s="1"/>
  <c r="X50" i="19" a="1"/>
  <c r="X50" i="19" s="1"/>
  <c r="AB50" i="19" a="1"/>
  <c r="AB50" i="19" s="1"/>
  <c r="AB54" i="19" a="1"/>
  <c r="AB54" i="19" s="1"/>
  <c r="L57" i="19"/>
  <c r="W26" i="19" a="1"/>
  <c r="W26" i="19" s="1"/>
  <c r="P53" i="19"/>
  <c r="S58" i="19" a="1"/>
  <c r="S58" i="19" s="1"/>
  <c r="P43" i="19"/>
  <c r="P56" i="19"/>
  <c r="AB57" i="19"/>
  <c r="AB49" i="19"/>
  <c r="P45" i="19"/>
  <c r="AB41" i="19"/>
  <c r="P35" i="19"/>
  <c r="AB33" i="19"/>
  <c r="P29" i="19"/>
  <c r="P37" i="19"/>
  <c r="L44" i="19"/>
  <c r="L49" i="19"/>
  <c r="P51" i="19"/>
  <c r="T55" i="19"/>
  <c r="X56" i="19"/>
  <c r="T57" i="19"/>
  <c r="O58" i="19" a="1"/>
  <c r="O58" i="19" s="1"/>
  <c r="T58" i="19"/>
  <c r="W58" i="19" a="1"/>
  <c r="W58" i="19" s="1"/>
  <c r="L33" i="19"/>
  <c r="L41" i="19"/>
  <c r="X58" i="19"/>
  <c r="AA58" i="19" a="1"/>
  <c r="AA58" i="19" s="1"/>
  <c r="G67" i="2"/>
  <c r="G65" i="2"/>
  <c r="P40" i="19"/>
  <c r="P26" i="19"/>
  <c r="S26" i="19" a="1"/>
  <c r="S26" i="19" s="1"/>
  <c r="AA26" i="19" a="1"/>
  <c r="AA26" i="19" s="1"/>
  <c r="O26" i="19" a="1"/>
  <c r="O26" i="19" s="1"/>
  <c r="L52" i="19"/>
  <c r="AB52" i="19"/>
  <c r="T52" i="19"/>
  <c r="X48" i="19"/>
  <c r="P48" i="19"/>
  <c r="T44" i="19"/>
  <c r="AB44" i="19"/>
  <c r="X40" i="19"/>
  <c r="L36" i="19"/>
  <c r="AB36" i="19"/>
  <c r="T36" i="19"/>
  <c r="X32" i="19"/>
  <c r="P32" i="19"/>
  <c r="T28" i="19"/>
  <c r="L28" i="19"/>
  <c r="AB28" i="19"/>
  <c r="L55" i="19"/>
  <c r="AB55" i="19"/>
  <c r="X53" i="19"/>
  <c r="X51" i="19"/>
  <c r="S50" i="19" a="1"/>
  <c r="S50" i="19" s="1"/>
  <c r="AA50" i="19" a="1"/>
  <c r="AA50" i="19" s="1"/>
  <c r="T49" i="19"/>
  <c r="O50" i="19" a="1"/>
  <c r="O50" i="19" s="1"/>
  <c r="W50" i="19" a="1"/>
  <c r="W50" i="19" s="1"/>
  <c r="T47" i="19"/>
  <c r="L47" i="19"/>
  <c r="AB47" i="19"/>
  <c r="X45" i="19"/>
  <c r="X43" i="19"/>
  <c r="T41" i="19"/>
  <c r="O42" i="19" a="1"/>
  <c r="O42" i="19" s="1"/>
  <c r="T42" i="19"/>
  <c r="W42" i="19" a="1"/>
  <c r="W42" i="19" s="1"/>
  <c r="S42" i="19" a="1"/>
  <c r="S42" i="19" s="1"/>
  <c r="AA42" i="19" a="1"/>
  <c r="AA42" i="19" s="1"/>
  <c r="L39" i="19"/>
  <c r="AB39" i="19"/>
  <c r="T39" i="19"/>
  <c r="X37" i="19"/>
  <c r="X35" i="19"/>
  <c r="S34" i="19" a="1"/>
  <c r="S34" i="19" s="1"/>
  <c r="X34" i="19"/>
  <c r="AA34" i="19" a="1"/>
  <c r="AA34" i="19" s="1"/>
  <c r="T33" i="19"/>
  <c r="O34" i="19" a="1"/>
  <c r="O34" i="19" s="1"/>
  <c r="W34" i="19" a="1"/>
  <c r="W34" i="19" s="1"/>
  <c r="AB34" i="19"/>
  <c r="T31" i="19"/>
  <c r="L31" i="19"/>
  <c r="AB31" i="19"/>
  <c r="X29" i="19"/>
  <c r="P27" i="19"/>
  <c r="X27" i="19"/>
  <c r="K26" i="19" a="1"/>
  <c r="K26" i="19" s="1"/>
  <c r="L26" i="19" a="1"/>
  <c r="L26" i="19" s="1"/>
  <c r="M27" i="19"/>
  <c r="U27" i="19"/>
  <c r="AC27" i="19"/>
  <c r="Q28" i="19"/>
  <c r="Y28" i="19"/>
  <c r="M29" i="19"/>
  <c r="U29" i="19"/>
  <c r="AC29" i="19"/>
  <c r="Q31" i="19"/>
  <c r="Y31" i="19"/>
  <c r="M32" i="19"/>
  <c r="U32" i="19"/>
  <c r="AC32" i="19"/>
  <c r="Q33" i="19"/>
  <c r="Y33" i="19"/>
  <c r="K34" i="19" a="1"/>
  <c r="K34" i="19" s="1"/>
  <c r="L34" i="19" a="1"/>
  <c r="L34" i="19" s="1"/>
  <c r="M34" i="19" a="1"/>
  <c r="M34" i="19" s="1"/>
  <c r="M35" i="19"/>
  <c r="U35" i="19"/>
  <c r="AC35" i="19"/>
  <c r="Q36" i="19"/>
  <c r="Y36" i="19"/>
  <c r="M37" i="19"/>
  <c r="U37" i="19"/>
  <c r="AC37" i="19"/>
  <c r="Q39" i="19"/>
  <c r="Y39" i="19"/>
  <c r="M40" i="19"/>
  <c r="U40" i="19"/>
  <c r="AC40" i="19"/>
  <c r="Q41" i="19"/>
  <c r="Y41" i="19"/>
  <c r="K42" i="19" a="1"/>
  <c r="K42" i="19" s="1"/>
  <c r="L42" i="19" a="1"/>
  <c r="L42" i="19" s="1"/>
  <c r="M42" i="19" a="1"/>
  <c r="M42" i="19" s="1"/>
  <c r="M43" i="19"/>
  <c r="U43" i="19"/>
  <c r="AC43" i="19"/>
  <c r="Q44" i="19"/>
  <c r="Y44" i="19"/>
  <c r="M45" i="19"/>
  <c r="U45" i="19"/>
  <c r="AC45" i="19"/>
  <c r="Q47" i="19"/>
  <c r="Y47" i="19"/>
  <c r="M48" i="19"/>
  <c r="U48" i="19"/>
  <c r="AC48" i="19"/>
  <c r="Q49" i="19"/>
  <c r="Y49" i="19"/>
  <c r="K50" i="19" a="1"/>
  <c r="K50" i="19" s="1"/>
  <c r="L50" i="19" a="1"/>
  <c r="L50" i="19" s="1"/>
  <c r="M50" i="19" a="1"/>
  <c r="M50" i="19" s="1"/>
  <c r="M51" i="19"/>
  <c r="U51" i="19"/>
  <c r="AC51" i="19"/>
  <c r="Q52" i="19"/>
  <c r="Y52" i="19"/>
  <c r="M53" i="19"/>
  <c r="U53" i="19"/>
  <c r="AC53" i="19"/>
  <c r="Q55" i="19"/>
  <c r="Y55" i="19"/>
  <c r="M56" i="19"/>
  <c r="U56" i="19"/>
  <c r="AC56" i="19"/>
  <c r="Q57" i="19"/>
  <c r="Y57" i="19"/>
  <c r="K58" i="19" a="1"/>
  <c r="K58" i="19" s="1"/>
  <c r="L58" i="19" a="1"/>
  <c r="L58" i="19" s="1"/>
  <c r="M58" i="19" a="1"/>
  <c r="M58" i="19" s="1"/>
  <c r="L29" i="19"/>
  <c r="K30" i="19" a="1"/>
  <c r="K30" i="19" s="1"/>
  <c r="L30" i="19" a="1"/>
  <c r="L30" i="19" s="1"/>
  <c r="M30" i="19" a="1"/>
  <c r="M30" i="19" s="1"/>
  <c r="O30" i="19" a="1"/>
  <c r="O30" i="19" s="1"/>
  <c r="P30" i="19" a="1"/>
  <c r="P30" i="19" s="1"/>
  <c r="S30" i="19" a="1"/>
  <c r="S30" i="19" s="1"/>
  <c r="T30" i="19" a="1"/>
  <c r="T30" i="19" s="1"/>
  <c r="W30" i="19" a="1"/>
  <c r="W30" i="19" s="1"/>
  <c r="X30" i="19" a="1"/>
  <c r="X30" i="19" s="1"/>
  <c r="AA30" i="19" a="1"/>
  <c r="AA30" i="19" s="1"/>
  <c r="L37" i="19"/>
  <c r="K38" i="19" a="1"/>
  <c r="K38" i="19" s="1"/>
  <c r="L38" i="19" a="1"/>
  <c r="L38" i="19" s="1"/>
  <c r="M38" i="19" a="1"/>
  <c r="M38" i="19" s="1"/>
  <c r="O38" i="19" a="1"/>
  <c r="O38" i="19" s="1"/>
  <c r="P38" i="19" a="1"/>
  <c r="P38" i="19" s="1"/>
  <c r="S38" i="19" a="1"/>
  <c r="S38" i="19" s="1"/>
  <c r="T38" i="19" a="1"/>
  <c r="T38" i="19" s="1"/>
  <c r="W38" i="19" a="1"/>
  <c r="W38" i="19" s="1"/>
  <c r="X38" i="19" a="1"/>
  <c r="X38" i="19" s="1"/>
  <c r="AA38" i="19" a="1"/>
  <c r="AA38" i="19" s="1"/>
  <c r="L45" i="19"/>
  <c r="K46" i="19" a="1"/>
  <c r="K46" i="19" s="1"/>
  <c r="L46" i="19" a="1"/>
  <c r="L46" i="19" s="1"/>
  <c r="M46" i="19" a="1"/>
  <c r="M46" i="19" s="1"/>
  <c r="O46" i="19" a="1"/>
  <c r="O46" i="19" s="1"/>
  <c r="P46" i="19" a="1"/>
  <c r="P46" i="19" s="1"/>
  <c r="S46" i="19" a="1"/>
  <c r="S46" i="19" s="1"/>
  <c r="T46" i="19" a="1"/>
  <c r="T46" i="19" s="1"/>
  <c r="W46" i="19" a="1"/>
  <c r="W46" i="19" s="1"/>
  <c r="X46" i="19" a="1"/>
  <c r="X46" i="19" s="1"/>
  <c r="AA46" i="19" a="1"/>
  <c r="AA46" i="19" s="1"/>
  <c r="L53" i="19"/>
  <c r="K54" i="19" a="1"/>
  <c r="K54" i="19" s="1"/>
  <c r="L54" i="19" a="1"/>
  <c r="L54" i="19" s="1"/>
  <c r="O54" i="19" a="1"/>
  <c r="O54" i="19" s="1"/>
  <c r="P54" i="19" a="1"/>
  <c r="P54" i="19" s="1"/>
  <c r="S54" i="19" a="1"/>
  <c r="S54" i="19" s="1"/>
  <c r="T54" i="19" a="1"/>
  <c r="T54" i="19" s="1"/>
  <c r="W54" i="19" a="1"/>
  <c r="W54" i="19" s="1"/>
  <c r="X54" i="19" a="1"/>
  <c r="X54" i="19" s="1"/>
  <c r="AA54" i="19" a="1"/>
  <c r="AA54" i="19" s="1"/>
  <c r="AB4" i="19" l="1"/>
  <c r="AB5" i="19" s="1"/>
  <c r="AC4" i="19"/>
  <c r="AC5" i="19" s="1"/>
  <c r="Y4" i="19"/>
  <c r="Y5" i="19" s="1"/>
  <c r="U4" i="19"/>
  <c r="U5" i="19" s="1"/>
  <c r="AA4" i="19"/>
  <c r="AA5" i="19" s="1"/>
  <c r="S4" i="19"/>
  <c r="S5" i="19" s="1"/>
  <c r="M4" i="19"/>
  <c r="M5" i="19" s="1"/>
  <c r="X4" i="19"/>
  <c r="X5" i="19" s="1"/>
  <c r="P4" i="19"/>
  <c r="P5" i="19" s="1"/>
  <c r="W4" i="19"/>
  <c r="W5" i="19" s="1"/>
  <c r="O4" i="19"/>
  <c r="O5" i="19" s="1"/>
  <c r="K4" i="19"/>
  <c r="K5" i="19" s="1"/>
  <c r="T4" i="19"/>
  <c r="T5" i="19" s="1"/>
  <c r="Q4" i="19"/>
  <c r="Q5" i="19" s="1"/>
  <c r="L4" i="19"/>
  <c r="L5" i="19" s="1"/>
  <c r="B61" i="18" l="1"/>
  <c r="C52" i="18"/>
  <c r="H7" i="18"/>
  <c r="B41" i="18"/>
  <c r="B32" i="18"/>
  <c r="B23" i="18"/>
  <c r="B14" i="18"/>
  <c r="B49" i="18"/>
  <c r="B48" i="18"/>
  <c r="B47" i="18"/>
  <c r="B46" i="18"/>
  <c r="B45" i="18"/>
  <c r="B44" i="18"/>
  <c r="B43" i="18"/>
  <c r="B42" i="18"/>
  <c r="B40" i="18"/>
  <c r="B39" i="18"/>
  <c r="B38" i="18"/>
  <c r="B37" i="18"/>
  <c r="B36" i="18"/>
  <c r="B35" i="18"/>
  <c r="B34" i="18"/>
  <c r="B33" i="18"/>
  <c r="B31" i="18"/>
  <c r="B30" i="18"/>
  <c r="B29" i="18"/>
  <c r="B28" i="18"/>
  <c r="B27" i="18"/>
  <c r="B26" i="18"/>
  <c r="B25" i="18"/>
  <c r="B24" i="18"/>
  <c r="B22" i="18"/>
  <c r="B21" i="18"/>
  <c r="B20" i="18"/>
  <c r="B19" i="18"/>
  <c r="B18" i="18"/>
  <c r="B17" i="18"/>
  <c r="B16" i="18"/>
  <c r="B15" i="18"/>
  <c r="AB9" i="2" l="1"/>
  <c r="AB8" i="2" s="1"/>
  <c r="L48" i="1" s="1"/>
  <c r="C30" i="4"/>
  <c r="C29" i="4"/>
  <c r="C28" i="4"/>
  <c r="C27" i="4"/>
  <c r="C26" i="4"/>
  <c r="C25" i="4"/>
  <c r="C24" i="4"/>
  <c r="C23" i="4"/>
  <c r="C22" i="4"/>
  <c r="C21" i="4"/>
  <c r="C20" i="4"/>
  <c r="C19" i="4"/>
  <c r="M5" i="4"/>
  <c r="L5" i="4"/>
  <c r="M4" i="4"/>
  <c r="L4" i="4"/>
  <c r="M3" i="4"/>
  <c r="L3" i="4"/>
  <c r="AJ25" i="2"/>
  <c r="U4" i="2"/>
  <c r="H40" i="1" s="1"/>
  <c r="U5" i="2"/>
  <c r="I40" i="1" s="1"/>
  <c r="U8" i="2"/>
  <c r="L40" i="1" s="1"/>
  <c r="U7" i="2"/>
  <c r="K40" i="1" s="1"/>
  <c r="U9" i="2"/>
  <c r="U32" i="2" s="1"/>
  <c r="U3" i="2" s="1"/>
  <c r="G40" i="1" s="1"/>
  <c r="AK9" i="2"/>
  <c r="AK8" i="2" l="1"/>
  <c r="L59" i="1" s="1"/>
  <c r="AK7" i="2"/>
  <c r="K59" i="1" s="1"/>
  <c r="AK5" i="2"/>
  <c r="I59" i="1" s="1"/>
  <c r="AK6" i="2"/>
  <c r="J59" i="1" s="1"/>
  <c r="F17" i="4"/>
  <c r="F18" i="4" s="1"/>
  <c r="F19" i="4" s="1"/>
  <c r="AB3" i="2"/>
  <c r="G48" i="1" s="1"/>
  <c r="AB4" i="2"/>
  <c r="H48" i="1" s="1"/>
  <c r="AB5" i="2"/>
  <c r="I48" i="1" s="1"/>
  <c r="AB6" i="2"/>
  <c r="J48" i="1" s="1"/>
  <c r="AB7" i="2"/>
  <c r="K48" i="1" s="1"/>
  <c r="U72" i="2"/>
  <c r="U6" i="2" s="1"/>
  <c r="J40" i="1" s="1"/>
  <c r="AK3" i="2"/>
  <c r="G59" i="1" s="1"/>
  <c r="AK4" i="2"/>
  <c r="H59" i="1" s="1"/>
  <c r="G20" i="1"/>
  <c r="O9" i="2"/>
  <c r="O72" i="2" s="1"/>
  <c r="O6" i="2" s="1"/>
  <c r="J33" i="1" s="1"/>
  <c r="AQ9" i="2"/>
  <c r="AP9" i="2"/>
  <c r="AP8" i="2" s="1"/>
  <c r="L64" i="1" s="1"/>
  <c r="AO9" i="2"/>
  <c r="AO8" i="2" s="1"/>
  <c r="L63" i="1" s="1"/>
  <c r="AN9" i="2"/>
  <c r="AN8" i="2" s="1"/>
  <c r="L62" i="1" s="1"/>
  <c r="AM8" i="2"/>
  <c r="L61" i="1" s="1"/>
  <c r="AL9" i="2"/>
  <c r="AL8" i="2" s="1"/>
  <c r="L60" i="1" s="1"/>
  <c r="AJ9" i="2"/>
  <c r="F63" i="18" s="1"/>
  <c r="AP4" i="2"/>
  <c r="H64" i="1" s="1"/>
  <c r="W25" i="2"/>
  <c r="W34" i="2" s="1"/>
  <c r="T25" i="2"/>
  <c r="O59" i="2" l="1"/>
  <c r="O5" i="2" s="1"/>
  <c r="I33" i="1" s="1"/>
  <c r="O7" i="2"/>
  <c r="K33" i="1" s="1"/>
  <c r="O4" i="2"/>
  <c r="AJ32" i="2"/>
  <c r="AJ3" i="2" s="1"/>
  <c r="G58" i="1" s="1"/>
  <c r="T38" i="2"/>
  <c r="T36" i="2"/>
  <c r="T34" i="2"/>
  <c r="T37" i="2"/>
  <c r="T35" i="2"/>
  <c r="T39" i="2"/>
  <c r="T33" i="2"/>
  <c r="AQ8" i="2"/>
  <c r="L65" i="1" s="1"/>
  <c r="AJ6" i="2"/>
  <c r="J58" i="1" s="1"/>
  <c r="AJ4" i="2"/>
  <c r="H58" i="1" s="1"/>
  <c r="AJ7" i="2"/>
  <c r="K58" i="1" s="1"/>
  <c r="AJ5" i="2"/>
  <c r="I58" i="1" s="1"/>
  <c r="AN3" i="2"/>
  <c r="G62" i="1" s="1"/>
  <c r="AO6" i="2"/>
  <c r="J63" i="1" s="1"/>
  <c r="AL4" i="2"/>
  <c r="H60" i="1" s="1"/>
  <c r="AN5" i="2"/>
  <c r="I62" i="1" s="1"/>
  <c r="AM6" i="2"/>
  <c r="J61" i="1" s="1"/>
  <c r="AO7" i="2"/>
  <c r="K63" i="1" s="1"/>
  <c r="W33" i="2"/>
  <c r="AL3" i="2"/>
  <c r="G60" i="1" s="1"/>
  <c r="AP3" i="2"/>
  <c r="G64" i="1" s="1"/>
  <c r="AN4" i="2"/>
  <c r="H62" i="1" s="1"/>
  <c r="AL5" i="2"/>
  <c r="I60" i="1" s="1"/>
  <c r="AP5" i="2"/>
  <c r="I64" i="1" s="1"/>
  <c r="AN6" i="2"/>
  <c r="J62" i="1" s="1"/>
  <c r="AP6" i="2"/>
  <c r="J64" i="1" s="1"/>
  <c r="AM3" i="2"/>
  <c r="G61" i="1" s="1"/>
  <c r="AO3" i="2"/>
  <c r="G63" i="1" s="1"/>
  <c r="AQ3" i="2"/>
  <c r="G65" i="1" s="1"/>
  <c r="AM4" i="2"/>
  <c r="H61" i="1" s="1"/>
  <c r="AO4" i="2"/>
  <c r="H63" i="1" s="1"/>
  <c r="AQ4" i="2"/>
  <c r="H65" i="1" s="1"/>
  <c r="AM5" i="2"/>
  <c r="I61" i="1" s="1"/>
  <c r="AO5" i="2"/>
  <c r="I63" i="1" s="1"/>
  <c r="AQ5" i="2"/>
  <c r="I65" i="1" s="1"/>
  <c r="AQ7" i="2"/>
  <c r="K65" i="1" s="1"/>
  <c r="AM7" i="2"/>
  <c r="K61" i="1" s="1"/>
  <c r="AQ6" i="2"/>
  <c r="J65" i="1" s="1"/>
  <c r="AP7" i="2"/>
  <c r="K64" i="1" s="1"/>
  <c r="AN7" i="2"/>
  <c r="K62" i="1" s="1"/>
  <c r="AL6" i="2"/>
  <c r="J60" i="1" s="1"/>
  <c r="AL7" i="2"/>
  <c r="K60" i="1" s="1"/>
  <c r="R25" i="2" l="1"/>
  <c r="P9" i="2"/>
  <c r="H33" i="1"/>
  <c r="C25" i="2"/>
  <c r="AG9" i="2"/>
  <c r="AF9" i="2"/>
  <c r="AD9" i="2"/>
  <c r="AC9" i="2"/>
  <c r="AA25" i="2"/>
  <c r="AA9" i="2"/>
  <c r="Z25" i="2"/>
  <c r="Z9" i="2"/>
  <c r="X9" i="2"/>
  <c r="W9" i="2"/>
  <c r="V9" i="2"/>
  <c r="T9" i="2"/>
  <c r="S9" i="2"/>
  <c r="R9" i="2"/>
  <c r="N9" i="2"/>
  <c r="N59" i="2" s="1"/>
  <c r="N5" i="2" s="1"/>
  <c r="M9" i="2"/>
  <c r="M59" i="2" s="1"/>
  <c r="M5" i="2" s="1"/>
  <c r="L9" i="2"/>
  <c r="L59" i="2" s="1"/>
  <c r="L5" i="2" s="1"/>
  <c r="K9" i="2"/>
  <c r="K59" i="2" s="1"/>
  <c r="K5" i="2" s="1"/>
  <c r="I29" i="1" s="1"/>
  <c r="J9" i="2"/>
  <c r="J59" i="2" s="1"/>
  <c r="J5" i="2" s="1"/>
  <c r="H9" i="2"/>
  <c r="G9" i="2"/>
  <c r="C55" i="18" s="1"/>
  <c r="F9" i="2"/>
  <c r="E9" i="2"/>
  <c r="C53" i="18" s="1"/>
  <c r="D9" i="2"/>
  <c r="C9" i="2"/>
  <c r="G50" i="2" l="1"/>
  <c r="G47" i="2"/>
  <c r="R40" i="2"/>
  <c r="R93" i="2"/>
  <c r="E55" i="2"/>
  <c r="E68" i="2" s="1"/>
  <c r="E53" i="2"/>
  <c r="AJ98" i="2"/>
  <c r="E52" i="2"/>
  <c r="J4" i="2"/>
  <c r="H28" i="1" s="1"/>
  <c r="I28" i="1"/>
  <c r="L4" i="2"/>
  <c r="H30" i="1" s="1"/>
  <c r="N4" i="2"/>
  <c r="H32" i="1" s="1"/>
  <c r="K4" i="2"/>
  <c r="H29" i="1" s="1"/>
  <c r="M4" i="2"/>
  <c r="H31" i="1" s="1"/>
  <c r="F57" i="18"/>
  <c r="R91" i="2"/>
  <c r="R92" i="2"/>
  <c r="R7" i="2" s="1"/>
  <c r="K37" i="1" s="1"/>
  <c r="Z51" i="2"/>
  <c r="Z50" i="2"/>
  <c r="Z47" i="2"/>
  <c r="Z49" i="2"/>
  <c r="Z48" i="2"/>
  <c r="E49" i="2"/>
  <c r="E48" i="2"/>
  <c r="E50" i="2"/>
  <c r="E47" i="2"/>
  <c r="G52" i="2"/>
  <c r="G54" i="2"/>
  <c r="G53" i="2"/>
  <c r="Z46" i="2"/>
  <c r="C54" i="18"/>
  <c r="C4" i="2"/>
  <c r="H20" i="1" s="1"/>
  <c r="I20" i="1"/>
  <c r="AJ101" i="2"/>
  <c r="AJ99" i="2"/>
  <c r="C8" i="2"/>
  <c r="L20" i="1" s="1"/>
  <c r="C7" i="2"/>
  <c r="K20" i="1" s="1"/>
  <c r="AJ100" i="2"/>
  <c r="C6" i="2"/>
  <c r="J20" i="1" s="1"/>
  <c r="Z105" i="2"/>
  <c r="Z103" i="2"/>
  <c r="Z101" i="2"/>
  <c r="Z99" i="2"/>
  <c r="Z106" i="2"/>
  <c r="Z104" i="2"/>
  <c r="Z102" i="2"/>
  <c r="Z100" i="2"/>
  <c r="Z98" i="2"/>
  <c r="W8" i="2"/>
  <c r="L42" i="1" s="1"/>
  <c r="W7" i="2"/>
  <c r="K42" i="1" s="1"/>
  <c r="W6" i="2"/>
  <c r="J42" i="1" s="1"/>
  <c r="W5" i="2"/>
  <c r="I42" i="1" s="1"/>
  <c r="W4" i="2"/>
  <c r="H42" i="1" s="1"/>
  <c r="W3" i="2"/>
  <c r="G42" i="1" s="1"/>
  <c r="Z7" i="2"/>
  <c r="K46" i="1" s="1"/>
  <c r="Z6" i="2"/>
  <c r="J46" i="1" s="1"/>
  <c r="Z5" i="2"/>
  <c r="I46" i="1" s="1"/>
  <c r="Z3" i="2"/>
  <c r="G46" i="1" s="1"/>
  <c r="AF8" i="2"/>
  <c r="L53" i="1" s="1"/>
  <c r="AF6" i="2"/>
  <c r="J53" i="1" s="1"/>
  <c r="AF4" i="2"/>
  <c r="H53" i="1" s="1"/>
  <c r="AF7" i="2"/>
  <c r="K53" i="1" s="1"/>
  <c r="AF5" i="2"/>
  <c r="I53" i="1" s="1"/>
  <c r="AF3" i="2"/>
  <c r="G53" i="1" s="1"/>
  <c r="AH8" i="2"/>
  <c r="AH6" i="2"/>
  <c r="AH4" i="2"/>
  <c r="AH7" i="2"/>
  <c r="AH5" i="2"/>
  <c r="AH3" i="2"/>
  <c r="D8" i="2"/>
  <c r="L21" i="1" s="1"/>
  <c r="D6" i="2"/>
  <c r="J21" i="1" s="1"/>
  <c r="D4" i="2"/>
  <c r="H21" i="1" s="1"/>
  <c r="D7" i="2"/>
  <c r="K21" i="1" s="1"/>
  <c r="D5" i="2"/>
  <c r="I21" i="1" s="1"/>
  <c r="D3" i="2"/>
  <c r="G21" i="1" s="1"/>
  <c r="S8" i="2"/>
  <c r="L38" i="1" s="1"/>
  <c r="S7" i="2"/>
  <c r="K38" i="1" s="1"/>
  <c r="S6" i="2"/>
  <c r="J38" i="1" s="1"/>
  <c r="S5" i="2"/>
  <c r="I38" i="1" s="1"/>
  <c r="S4" i="2"/>
  <c r="H38" i="1" s="1"/>
  <c r="S3" i="2"/>
  <c r="G38" i="1" s="1"/>
  <c r="V8" i="2"/>
  <c r="L41" i="1" s="1"/>
  <c r="V7" i="2"/>
  <c r="K41" i="1" s="1"/>
  <c r="V6" i="2"/>
  <c r="J41" i="1" s="1"/>
  <c r="V5" i="2"/>
  <c r="I41" i="1" s="1"/>
  <c r="V4" i="2"/>
  <c r="H41" i="1" s="1"/>
  <c r="V3" i="2"/>
  <c r="G41" i="1" s="1"/>
  <c r="X8" i="2"/>
  <c r="L43" i="1" s="1"/>
  <c r="X7" i="2"/>
  <c r="K43" i="1" s="1"/>
  <c r="X6" i="2"/>
  <c r="J43" i="1" s="1"/>
  <c r="X5" i="2"/>
  <c r="I43" i="1" s="1"/>
  <c r="X4" i="2"/>
  <c r="H43" i="1" s="1"/>
  <c r="X3" i="2"/>
  <c r="G43" i="1" s="1"/>
  <c r="Z54" i="2"/>
  <c r="Z52" i="2"/>
  <c r="Z53" i="2"/>
  <c r="AD8" i="2"/>
  <c r="L50" i="1" s="1"/>
  <c r="AD7" i="2"/>
  <c r="K50" i="1" s="1"/>
  <c r="AD6" i="2"/>
  <c r="J50" i="1" s="1"/>
  <c r="AD5" i="2"/>
  <c r="I50" i="1" s="1"/>
  <c r="AD4" i="2"/>
  <c r="H50" i="1" s="1"/>
  <c r="AD3" i="2"/>
  <c r="G50" i="1" s="1"/>
  <c r="P8" i="2"/>
  <c r="P6" i="2"/>
  <c r="J34" i="1" s="1"/>
  <c r="P4" i="2"/>
  <c r="H34" i="1" s="1"/>
  <c r="P7" i="2"/>
  <c r="P5" i="2"/>
  <c r="I34" i="1" s="1"/>
  <c r="P3" i="2"/>
  <c r="T7" i="2"/>
  <c r="K39" i="1" s="1"/>
  <c r="T5" i="2"/>
  <c r="I39" i="1" s="1"/>
  <c r="T3" i="2"/>
  <c r="G39" i="1" s="1"/>
  <c r="T8" i="2"/>
  <c r="L39" i="1" s="1"/>
  <c r="T6" i="2"/>
  <c r="J39" i="1" s="1"/>
  <c r="T4" i="2"/>
  <c r="H39" i="1" s="1"/>
  <c r="R8" i="2"/>
  <c r="L37" i="1" s="1"/>
  <c r="R6" i="2"/>
  <c r="J37" i="1" s="1"/>
  <c r="R5" i="2"/>
  <c r="I37" i="1" s="1"/>
  <c r="R4" i="2"/>
  <c r="H37" i="1" s="1"/>
  <c r="H8" i="2"/>
  <c r="L25" i="1" s="1"/>
  <c r="H6" i="2"/>
  <c r="J25" i="1" s="1"/>
  <c r="H4" i="2"/>
  <c r="H25" i="1" s="1"/>
  <c r="H7" i="2"/>
  <c r="K25" i="1" s="1"/>
  <c r="H5" i="2"/>
  <c r="I25" i="1" s="1"/>
  <c r="H3" i="2"/>
  <c r="G25" i="1" s="1"/>
  <c r="F7" i="2"/>
  <c r="K23" i="1" s="1"/>
  <c r="F5" i="2"/>
  <c r="I23" i="1" s="1"/>
  <c r="F3" i="2"/>
  <c r="G23" i="1" s="1"/>
  <c r="F8" i="2"/>
  <c r="L23" i="1" s="1"/>
  <c r="F6" i="2"/>
  <c r="J23" i="1" s="1"/>
  <c r="F4" i="2"/>
  <c r="H23" i="1" s="1"/>
  <c r="E8" i="2"/>
  <c r="L22" i="1" s="1"/>
  <c r="E6" i="2"/>
  <c r="J22" i="1" s="1"/>
  <c r="E3" i="2"/>
  <c r="G22" i="1" s="1"/>
  <c r="E7" i="2"/>
  <c r="K22" i="1" s="1"/>
  <c r="E5" i="2"/>
  <c r="I22" i="1" s="1"/>
  <c r="AA7" i="2"/>
  <c r="K47" i="1" s="1"/>
  <c r="AA5" i="2"/>
  <c r="I47" i="1" s="1"/>
  <c r="AA3" i="2"/>
  <c r="G47" i="1" s="1"/>
  <c r="AA8" i="2"/>
  <c r="L47" i="1" s="1"/>
  <c r="AA6" i="2"/>
  <c r="J47" i="1" s="1"/>
  <c r="AC8" i="2"/>
  <c r="L49" i="1" s="1"/>
  <c r="AC7" i="2"/>
  <c r="K49" i="1" s="1"/>
  <c r="AC6" i="2"/>
  <c r="J49" i="1" s="1"/>
  <c r="AC5" i="2"/>
  <c r="I49" i="1" s="1"/>
  <c r="AC4" i="2"/>
  <c r="H49" i="1" s="1"/>
  <c r="AC3" i="2"/>
  <c r="G49" i="1" s="1"/>
  <c r="AG8" i="2"/>
  <c r="L54" i="1" s="1"/>
  <c r="AG7" i="2"/>
  <c r="K54" i="1" s="1"/>
  <c r="AG6" i="2"/>
  <c r="J54" i="1" s="1"/>
  <c r="AG5" i="2"/>
  <c r="I54" i="1" s="1"/>
  <c r="AG4" i="2"/>
  <c r="H54" i="1" s="1"/>
  <c r="AG3" i="2"/>
  <c r="G54" i="1" s="1"/>
  <c r="G7" i="2"/>
  <c r="G5" i="2"/>
  <c r="G3" i="2"/>
  <c r="G8" i="2"/>
  <c r="G6" i="2"/>
  <c r="AA50" i="2"/>
  <c r="AA48" i="2"/>
  <c r="AA49" i="2"/>
  <c r="AA47" i="2"/>
  <c r="R38" i="2"/>
  <c r="R39" i="2"/>
  <c r="G4" i="2" l="1"/>
  <c r="H24" i="1" s="1"/>
  <c r="L24" i="1"/>
  <c r="G24" i="1"/>
  <c r="J24" i="1"/>
  <c r="I24" i="1"/>
  <c r="K24" i="1"/>
  <c r="Z8" i="2"/>
  <c r="L46" i="1" s="1"/>
  <c r="AA4" i="2"/>
  <c r="H47" i="1" s="1"/>
  <c r="Z4" i="2"/>
  <c r="H46" i="1" s="1"/>
  <c r="AJ8" i="2"/>
  <c r="L58" i="1" s="1"/>
  <c r="E4" i="2"/>
  <c r="H22" i="1" s="1"/>
  <c r="R3" i="2"/>
  <c r="G37" i="1" s="1"/>
  <c r="B10" i="1" l="1"/>
  <c r="B12" i="1"/>
  <c r="G4" i="1" l="1"/>
  <c r="F48" i="18"/>
  <c r="E4" i="1"/>
  <c r="D4" i="1"/>
  <c r="G10" i="1"/>
  <c r="D11" i="1"/>
  <c r="E11" i="1"/>
  <c r="F11" i="1"/>
  <c r="G11" i="1"/>
  <c r="E5" i="1"/>
  <c r="E6" i="1"/>
  <c r="D8" i="1"/>
  <c r="D9" i="1"/>
  <c r="D10" i="1"/>
  <c r="F4" i="1"/>
  <c r="F5" i="1"/>
  <c r="F6" i="1"/>
  <c r="E8" i="1"/>
  <c r="E9" i="1"/>
  <c r="E10" i="1"/>
  <c r="G5" i="1"/>
  <c r="G6" i="1"/>
  <c r="F8" i="1"/>
  <c r="F9" i="1"/>
  <c r="F10" i="1"/>
  <c r="D5" i="1"/>
  <c r="D6" i="1"/>
  <c r="D7" i="1"/>
  <c r="G8" i="1"/>
  <c r="G9" i="1"/>
  <c r="E7" i="1"/>
  <c r="G7" i="1"/>
  <c r="F7" i="1"/>
  <c r="F47" i="18"/>
  <c r="F29" i="18"/>
  <c r="F30" i="18"/>
  <c r="F44" i="18"/>
  <c r="F20" i="18"/>
  <c r="F38" i="18"/>
  <c r="F21" i="18"/>
  <c r="F39" i="18"/>
  <c r="F16" i="18"/>
  <c r="F25" i="18"/>
  <c r="F34" i="18"/>
  <c r="F43" i="18"/>
  <c r="F17" i="18"/>
  <c r="F26" i="18"/>
  <c r="F35" i="18"/>
  <c r="F46" i="18"/>
  <c r="F15" i="18"/>
  <c r="F18" i="18"/>
  <c r="F22" i="18"/>
  <c r="F27" i="18"/>
  <c r="F31" i="18"/>
  <c r="F36" i="18"/>
  <c r="F40" i="18"/>
  <c r="F45" i="18"/>
  <c r="F49" i="18"/>
  <c r="F19" i="18"/>
  <c r="F24" i="18"/>
  <c r="F28" i="18"/>
  <c r="F33" i="18"/>
  <c r="F37" i="18"/>
  <c r="F42" i="18"/>
  <c r="E48" i="18"/>
  <c r="E46" i="18"/>
  <c r="E44" i="18"/>
  <c r="E42" i="18"/>
  <c r="E39" i="18"/>
  <c r="E37" i="18"/>
  <c r="E35" i="18"/>
  <c r="E33" i="18"/>
  <c r="E30" i="18"/>
  <c r="E28" i="18"/>
  <c r="E26" i="18"/>
  <c r="E24" i="18"/>
  <c r="E21" i="18"/>
  <c r="E19" i="18"/>
  <c r="E17" i="18"/>
  <c r="E15" i="18"/>
  <c r="E49" i="18"/>
  <c r="E47" i="18"/>
  <c r="E45" i="18"/>
  <c r="E43" i="18"/>
  <c r="E40" i="18"/>
  <c r="E38" i="18"/>
  <c r="E36" i="18"/>
  <c r="E34" i="18"/>
  <c r="E31" i="18"/>
  <c r="E29" i="18"/>
  <c r="E27" i="18"/>
  <c r="E25" i="18"/>
  <c r="E22" i="18"/>
  <c r="E20" i="18"/>
  <c r="E18" i="18"/>
  <c r="E16" i="18"/>
  <c r="D33" i="18" l="1"/>
  <c r="D45" i="18"/>
  <c r="D35" i="18"/>
  <c r="D19" i="18"/>
  <c r="D31" i="18"/>
  <c r="D34" i="18"/>
  <c r="D18" i="18"/>
  <c r="D30" i="18"/>
  <c r="D43" i="18"/>
  <c r="D25" i="18"/>
  <c r="D37" i="18"/>
  <c r="D21" i="18"/>
  <c r="D48" i="18"/>
  <c r="D36" i="18"/>
  <c r="D20" i="18"/>
  <c r="D24" i="18"/>
  <c r="D42" i="18"/>
  <c r="D49" i="18"/>
  <c r="D27" i="18"/>
  <c r="D39" i="18"/>
  <c r="D46" i="18"/>
  <c r="D26" i="18"/>
  <c r="D38" i="18"/>
  <c r="D22" i="18"/>
  <c r="D47" i="18"/>
  <c r="D17" i="18"/>
  <c r="D29" i="18"/>
  <c r="D44" i="18"/>
  <c r="D16" i="18"/>
  <c r="D28" i="18"/>
  <c r="D40" i="18"/>
  <c r="C33" i="18"/>
  <c r="C45" i="18"/>
  <c r="C35" i="18"/>
  <c r="C19" i="18"/>
  <c r="C31" i="18"/>
  <c r="C34" i="18"/>
  <c r="C18" i="18"/>
  <c r="C30" i="18"/>
  <c r="C43" i="18"/>
  <c r="C25" i="18"/>
  <c r="C37" i="18"/>
  <c r="C21" i="18"/>
  <c r="C48" i="18"/>
  <c r="C36" i="18"/>
  <c r="C20" i="18"/>
  <c r="C24" i="18"/>
  <c r="C42" i="18"/>
  <c r="C49" i="18"/>
  <c r="C27" i="18"/>
  <c r="C39" i="18"/>
  <c r="C46" i="18"/>
  <c r="C26" i="18"/>
  <c r="C38" i="18"/>
  <c r="C22" i="18"/>
  <c r="C47" i="18"/>
  <c r="C17" i="18"/>
  <c r="C29" i="18"/>
  <c r="C44" i="18"/>
  <c r="C16" i="18"/>
  <c r="C28" i="18"/>
  <c r="C40" i="18"/>
  <c r="C15" i="18"/>
  <c r="D15"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Tyson M</author>
  </authors>
  <commentList>
    <comment ref="A13" authorId="0" shapeId="0" xr:uid="{00000000-0006-0000-0700-000001000000}">
      <text>
        <r>
          <rPr>
            <b/>
            <sz val="8"/>
            <color indexed="81"/>
            <rFont val="Tahoma"/>
            <family val="2"/>
          </rPr>
          <t>Tyson M:</t>
        </r>
        <r>
          <rPr>
            <sz val="8"/>
            <color indexed="81"/>
            <rFont val="Tahoma"/>
            <family val="2"/>
          </rPr>
          <t xml:space="preserve">
Nickel underplate is an extra 5 cents per sq in.</t>
        </r>
      </text>
    </comment>
    <comment ref="D18" authorId="0" shapeId="0" xr:uid="{00000000-0006-0000-0700-000002000000}">
      <text>
        <r>
          <rPr>
            <b/>
            <sz val="8"/>
            <color indexed="81"/>
            <rFont val="Tahoma"/>
            <family val="2"/>
          </rPr>
          <t>Tyson M:</t>
        </r>
        <r>
          <rPr>
            <sz val="8"/>
            <color indexed="81"/>
            <rFont val="Tahoma"/>
            <family val="2"/>
          </rPr>
          <t xml:space="preserve">
Extra 6 sq in. automatically added to compensate for border area not coverable by DES taping process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JEF6001" type="6" refreshedVersion="0" background="1">
    <textPr prompt="0" sourceFile="S:\Customer Specs\JEF600\JEF600.txt">
      <textFields>
        <textField/>
      </textFields>
    </textPr>
  </connection>
  <connection id="2" xr16:uid="{00000000-0015-0000-FFFF-FFFF01000000}" name="JEF60010" type="6" refreshedVersion="0" background="1">
    <textPr prompt="0" sourceFile="S:\Customer Specs\JEF600\JEF600.txt">
      <textFields>
        <textField/>
      </textFields>
    </textPr>
  </connection>
  <connection id="3" xr16:uid="{00000000-0015-0000-FFFF-FFFF02000000}" name="JEF60011" type="6" refreshedVersion="0" background="1">
    <textPr prompt="0" sourceFile="S:\Customer Specs\JEF600\JEF600.txt">
      <textFields>
        <textField/>
      </textFields>
    </textPr>
  </connection>
  <connection id="4" xr16:uid="{00000000-0015-0000-FFFF-FFFF03000000}" name="JEF60012" type="6" refreshedVersion="0" background="1">
    <textPr prompt="0" sourceFile="S:\Customer Specs\JEF600\JEF600.txt">
      <textFields>
        <textField/>
      </textFields>
    </textPr>
  </connection>
  <connection id="5" xr16:uid="{00000000-0015-0000-FFFF-FFFF04000000}" name="JEF60013" type="6" refreshedVersion="0" background="1">
    <textPr prompt="0" sourceFile="S:\Customer Specs\JEF600\JEF600.txt">
      <textFields>
        <textField/>
      </textFields>
    </textPr>
  </connection>
  <connection id="6" xr16:uid="{00000000-0015-0000-FFFF-FFFF05000000}" name="JEF60014" type="6" refreshedVersion="0" background="1">
    <textPr prompt="0" sourceFile="S:\Customer Specs\JEF600\JEF600.txt">
      <textFields>
        <textField/>
      </textFields>
    </textPr>
  </connection>
  <connection id="7" xr16:uid="{00000000-0015-0000-FFFF-FFFF06000000}" name="JEF60015" type="6" refreshedVersion="0" background="1">
    <textPr prompt="0" sourceFile="S:\Customer Specs\JEF600\JEF600.txt">
      <textFields>
        <textField/>
      </textFields>
    </textPr>
  </connection>
  <connection id="8" xr16:uid="{00000000-0015-0000-FFFF-FFFF07000000}" name="JEF60016" type="6" refreshedVersion="0" background="1">
    <textPr prompt="0" sourceFile="S:\Customer Specs\JEF600\JEF600.txt">
      <textFields>
        <textField/>
      </textFields>
    </textPr>
  </connection>
  <connection id="9" xr16:uid="{00000000-0015-0000-FFFF-FFFF08000000}" name="JEF60017" type="6" refreshedVersion="0" background="1">
    <textPr prompt="0" sourceFile="S:\Customer Specs\JEF600\JEF600.txt">
      <textFields>
        <textField/>
      </textFields>
    </textPr>
  </connection>
  <connection id="10" xr16:uid="{00000000-0015-0000-FFFF-FFFF09000000}" name="JEF60018" type="6" refreshedVersion="0" background="1">
    <textPr prompt="0" sourceFile="S:\Customer Specs\JEF600\JEF600.txt">
      <textFields>
        <textField/>
      </textFields>
    </textPr>
  </connection>
  <connection id="11" xr16:uid="{00000000-0015-0000-FFFF-FFFF0A000000}" name="JEF60019" type="6" refreshedVersion="0" background="1">
    <textPr prompt="0" sourceFile="S:\Customer Specs\JEF600\JEF600.txt">
      <textFields>
        <textField/>
      </textFields>
    </textPr>
  </connection>
  <connection id="12" xr16:uid="{00000000-0015-0000-FFFF-FFFF0B000000}" name="JEF6002" type="6" refreshedVersion="0" background="1">
    <textPr prompt="0" sourceFile="S:\Customer Specs\JEF600\JEF600.txt">
      <textFields>
        <textField/>
      </textFields>
    </textPr>
  </connection>
  <connection id="13" xr16:uid="{00000000-0015-0000-FFFF-FFFF0C000000}" name="JEF60020" type="6" refreshedVersion="0" background="1">
    <textPr prompt="0" sourceFile="S:\Customer Specs\JEF600\JEF600.txt">
      <textFields>
        <textField/>
      </textFields>
    </textPr>
  </connection>
  <connection id="14" xr16:uid="{00000000-0015-0000-FFFF-FFFF0D000000}" name="JEF60021" type="6" refreshedVersion="0" background="1">
    <textPr prompt="0" sourceFile="S:\Customer Specs\JEF600\JEF600.txt">
      <textFields>
        <textField/>
      </textFields>
    </textPr>
  </connection>
  <connection id="15" xr16:uid="{00000000-0015-0000-FFFF-FFFF0E000000}" name="JEF60022" type="6" refreshedVersion="0" background="1">
    <textPr prompt="0" sourceFile="S:\Customer Specs\JEF600\JEF600.txt">
      <textFields>
        <textField/>
      </textFields>
    </textPr>
  </connection>
  <connection id="16" xr16:uid="{00000000-0015-0000-FFFF-FFFF0F000000}" name="JEF60023" type="6" refreshedVersion="0" background="1">
    <textPr prompt="0" sourceFile="S:\Customer Specs\JEF600\JEF600.txt">
      <textFields>
        <textField/>
      </textFields>
    </textPr>
  </connection>
  <connection id="17" xr16:uid="{00000000-0015-0000-FFFF-FFFF10000000}" name="JEF60024" type="6" refreshedVersion="0" background="1">
    <textPr prompt="0" sourceFile="S:\Customer Specs\JEF600\JEF600.txt">
      <textFields>
        <textField/>
      </textFields>
    </textPr>
  </connection>
  <connection id="18" xr16:uid="{00000000-0015-0000-FFFF-FFFF11000000}" name="JEF60025" type="6" refreshedVersion="0" background="1">
    <textPr prompt="0" sourceFile="S:\Customer Specs\JEF600\JEF600.txt">
      <textFields>
        <textField/>
      </textFields>
    </textPr>
  </connection>
  <connection id="19" xr16:uid="{00000000-0015-0000-FFFF-FFFF12000000}" name="JEF60027" type="6" refreshedVersion="0" background="1">
    <textPr prompt="0" sourceFile="S:\Customer Specs\JEF600\JEF600.txt">
      <textFields>
        <textField/>
      </textFields>
    </textPr>
  </connection>
  <connection id="20" xr16:uid="{00000000-0015-0000-FFFF-FFFF13000000}" name="JEF60028" type="6" refreshedVersion="0" background="1">
    <textPr prompt="0" sourceFile="S:\Customer Specs\JEF600\JEF600.txt">
      <textFields>
        <textField/>
      </textFields>
    </textPr>
  </connection>
  <connection id="21" xr16:uid="{00000000-0015-0000-FFFF-FFFF14000000}" name="JEF60029" type="6" refreshedVersion="0" background="1">
    <textPr prompt="0" sourceFile="S:\Customer Specs\JEF600\JEF600.txt">
      <textFields>
        <textField/>
      </textFields>
    </textPr>
  </connection>
  <connection id="22" xr16:uid="{00000000-0015-0000-FFFF-FFFF15000000}" name="JEF6003" type="6" refreshedVersion="0" background="1">
    <textPr prompt="0" sourceFile="S:\Customer Specs\JEF600\JEF600.txt">
      <textFields>
        <textField/>
      </textFields>
    </textPr>
  </connection>
  <connection id="23" xr16:uid="{00000000-0015-0000-FFFF-FFFF16000000}" name="JEF60030" type="6" refreshedVersion="0" background="1">
    <textPr prompt="0" sourceFile="S:\Customer Specs\JEF600\JEF600.txt">
      <textFields>
        <textField/>
      </textFields>
    </textPr>
  </connection>
  <connection id="24" xr16:uid="{00000000-0015-0000-FFFF-FFFF17000000}" name="JEF6004" type="6" refreshedVersion="0" background="1">
    <textPr prompt="0" sourceFile="S:\Customer Specs\JEF600\JEF600.txt">
      <textFields>
        <textField/>
      </textFields>
    </textPr>
  </connection>
  <connection id="25" xr16:uid="{00000000-0015-0000-FFFF-FFFF18000000}" name="JEF6005" type="6" refreshedVersion="0" background="1">
    <textPr prompt="0" sourceFile="S:\Customer Specs\JEF600\JEF600.txt">
      <textFields>
        <textField/>
      </textFields>
    </textPr>
  </connection>
  <connection id="26" xr16:uid="{00000000-0015-0000-FFFF-FFFF19000000}" name="JEF6006" type="6" refreshedVersion="0" background="1">
    <textPr prompt="0" sourceFile="S:\Customer Specs\JEF600\JEF600.txt">
      <textFields>
        <textField/>
      </textFields>
    </textPr>
  </connection>
  <connection id="27" xr16:uid="{00000000-0015-0000-FFFF-FFFF1A000000}" name="JEF6007" type="6" refreshedVersion="0" background="1">
    <textPr prompt="0" sourceFile="S:\Customer Specs\JEF600\JEF600.txt">
      <textFields>
        <textField/>
      </textFields>
    </textPr>
  </connection>
  <connection id="28" xr16:uid="{00000000-0015-0000-FFFF-FFFF1B000000}" name="JEF6008" type="6" refreshedVersion="0" background="1">
    <textPr prompt="0" sourceFile="S:\Customer Specs\JEF600\JEF600.txt">
      <textFields>
        <textField/>
      </textFields>
    </textPr>
  </connection>
  <connection id="29" xr16:uid="{00000000-0015-0000-FFFF-FFFF1C000000}" name="JEF6009" type="6" refreshedVersion="0" background="1">
    <textPr prompt="0" sourceFile="S:\Customer Specs\JEF600\JEF600.txt">
      <textFields>
        <textField/>
      </textFields>
    </textPr>
  </connection>
</connections>
</file>

<file path=xl/sharedStrings.xml><?xml version="1.0" encoding="utf-8"?>
<sst xmlns="http://schemas.openxmlformats.org/spreadsheetml/2006/main" count="898" uniqueCount="495">
  <si>
    <t>Job Type</t>
  </si>
  <si>
    <t>Panel Price</t>
  </si>
  <si>
    <t>Setup</t>
  </si>
  <si>
    <t>Tooling</t>
  </si>
  <si>
    <t>% Adder</t>
  </si>
  <si>
    <t>Layer Count</t>
  </si>
  <si>
    <t>Construction</t>
  </si>
  <si>
    <t>Thickness</t>
  </si>
  <si>
    <t>Material Type</t>
  </si>
  <si>
    <t>Surface Finish</t>
  </si>
  <si>
    <t>Gold Tab</t>
  </si>
  <si>
    <t>2 Oz Layers</t>
  </si>
  <si>
    <t>4 Oz Layers</t>
  </si>
  <si>
    <t>5 Oz Layers</t>
  </si>
  <si>
    <t>6 Oz Layers</t>
  </si>
  <si>
    <t>3 Oz Layers</t>
  </si>
  <si>
    <t>Smallest Hole</t>
  </si>
  <si>
    <t>Edge Bevel</t>
  </si>
  <si>
    <t>Slots</t>
  </si>
  <si>
    <t>Edge Plating</t>
  </si>
  <si>
    <t>Scoring</t>
  </si>
  <si>
    <t>Break-apart</t>
  </si>
  <si>
    <t>Soldermask</t>
  </si>
  <si>
    <t>Legend</t>
  </si>
  <si>
    <t>Peelable Mask</t>
  </si>
  <si>
    <t>Plasma Desmear</t>
  </si>
  <si>
    <t>PPAP</t>
  </si>
  <si>
    <t>Hi-Pot Testing</t>
  </si>
  <si>
    <t>ITAR</t>
  </si>
  <si>
    <t>Low</t>
  </si>
  <si>
    <t>High</t>
  </si>
  <si>
    <t>Flying Probe</t>
  </si>
  <si>
    <t>TTI</t>
  </si>
  <si>
    <t>Fastek</t>
  </si>
  <si>
    <t>Outside Fixture</t>
  </si>
  <si>
    <t>Oversize adder</t>
  </si>
  <si>
    <t>Inks &amp; Coatings</t>
  </si>
  <si>
    <t>Special Processes</t>
  </si>
  <si>
    <t>Mechanical &amp; Fabrication</t>
  </si>
  <si>
    <t>Copper Weight</t>
  </si>
  <si>
    <t>Quality &amp; Testing</t>
  </si>
  <si>
    <t>Basic Properties</t>
  </si>
  <si>
    <t>2oz</t>
  </si>
  <si>
    <t>3oz</t>
  </si>
  <si>
    <t>4oz</t>
  </si>
  <si>
    <t>5oz</t>
  </si>
  <si>
    <t>6oz</t>
  </si>
  <si>
    <t>unbalanced</t>
  </si>
  <si>
    <t>Peelable</t>
  </si>
  <si>
    <t>Plasma</t>
  </si>
  <si>
    <t>Impedance Test</t>
  </si>
  <si>
    <t>Hi-Pot</t>
  </si>
  <si>
    <t>Single Sided</t>
  </si>
  <si>
    <t>Double Sided</t>
  </si>
  <si>
    <t>6-Layer</t>
  </si>
  <si>
    <t>4-Layer</t>
  </si>
  <si>
    <t>8-Layer</t>
  </si>
  <si>
    <t>10-Layer</t>
  </si>
  <si>
    <t>12-Layer</t>
  </si>
  <si>
    <t>14-layer</t>
  </si>
  <si>
    <t>16-layer</t>
  </si>
  <si>
    <t>18-Layer</t>
  </si>
  <si>
    <t>20-Layer</t>
  </si>
  <si>
    <t>Standard</t>
  </si>
  <si>
    <t>Filler Core</t>
  </si>
  <si>
    <t>Cap Const.</t>
  </si>
  <si>
    <t>Isola 185HR</t>
  </si>
  <si>
    <t>Isola 370HR/ IS410 / FR-406</t>
  </si>
  <si>
    <t>IMS PCB - Generic</t>
  </si>
  <si>
    <t>IMS PCB - Laird</t>
  </si>
  <si>
    <t>Thick Panels: .093"</t>
  </si>
  <si>
    <t>Thick Panels: .125"</t>
  </si>
  <si>
    <t>Thick Panels: &gt;.125"</t>
  </si>
  <si>
    <t>Tin/Lead Solder</t>
  </si>
  <si>
    <t>ENIG</t>
  </si>
  <si>
    <t>L/F Solder</t>
  </si>
  <si>
    <t>Imm Silver</t>
  </si>
  <si>
    <t>Imm Tin</t>
  </si>
  <si>
    <t>OSP</t>
  </si>
  <si>
    <t>Outside Gold - Full Body</t>
  </si>
  <si>
    <t>Outside Gold - Selective</t>
  </si>
  <si>
    <t>Outside Gold - Selective w/bussing</t>
  </si>
  <si>
    <t>Green</t>
  </si>
  <si>
    <t>Red</t>
  </si>
  <si>
    <t>Blue</t>
  </si>
  <si>
    <t>White</t>
  </si>
  <si>
    <t>Black</t>
  </si>
  <si>
    <t>LED White</t>
  </si>
  <si>
    <t>Purple</t>
  </si>
  <si>
    <t>Clear</t>
  </si>
  <si>
    <t>Yellow</t>
  </si>
  <si>
    <t>Flat Amortized</t>
  </si>
  <si>
    <t>None</t>
  </si>
  <si>
    <t>1 Row/Panel</t>
  </si>
  <si>
    <t>2 Rows/Panel</t>
  </si>
  <si>
    <t>3 Rows/Panel</t>
  </si>
  <si>
    <t>4 Rows/Panel</t>
  </si>
  <si>
    <t>5 Rows/Panel</t>
  </si>
  <si>
    <t>6 Rows/Panel</t>
  </si>
  <si>
    <t>7 Rows/Panel</t>
  </si>
  <si>
    <t>8 Rows/Panel</t>
  </si>
  <si>
    <t>9 Rows/Panel</t>
  </si>
  <si>
    <t>10 Rows/Panel</t>
  </si>
  <si>
    <t>Piece</t>
  </si>
  <si>
    <t>Panel</t>
  </si>
  <si>
    <t>Flat Adder</t>
  </si>
  <si>
    <t>.026" or Greater</t>
  </si>
  <si>
    <t>.020" - .024" Finished</t>
  </si>
  <si>
    <t>.018" Finished</t>
  </si>
  <si>
    <t>.016" Finished</t>
  </si>
  <si>
    <t>.014" Finished</t>
  </si>
  <si>
    <t>.012" Finished</t>
  </si>
  <si>
    <t>.010" Finished</t>
  </si>
  <si>
    <t>.008" Finished</t>
  </si>
  <si>
    <t>No</t>
  </si>
  <si>
    <t>Yes</t>
  </si>
  <si>
    <t>1-Edge</t>
  </si>
  <si>
    <t>2-Edge</t>
  </si>
  <si>
    <t>1 Edge</t>
  </si>
  <si>
    <t>2 Edge</t>
  </si>
  <si>
    <t>3 Edge</t>
  </si>
  <si>
    <t>4 Edge</t>
  </si>
  <si>
    <t>1-Side</t>
  </si>
  <si>
    <t>2 Sides</t>
  </si>
  <si>
    <t>Menu 2</t>
  </si>
  <si>
    <t>1 Side</t>
  </si>
  <si>
    <t>1 Side (2 coats)</t>
  </si>
  <si>
    <t>2 Sides (2 coats)</t>
  </si>
  <si>
    <t>Piece Price</t>
  </si>
  <si>
    <t>Tooling Adder</t>
  </si>
  <si>
    <t>14-Layer</t>
  </si>
  <si>
    <t>16-Layer</t>
  </si>
  <si>
    <t>CEM-1</t>
  </si>
  <si>
    <t>Menu 1</t>
  </si>
  <si>
    <t>Extra Copper</t>
  </si>
  <si>
    <t>.0014" In Hole</t>
  </si>
  <si>
    <t>.002" in Hole</t>
  </si>
  <si>
    <t>2oz Pattern</t>
  </si>
  <si>
    <t>Jump</t>
  </si>
  <si>
    <t>Minimum</t>
  </si>
  <si>
    <t>Electrical Test</t>
  </si>
  <si>
    <t>Elect Test</t>
  </si>
  <si>
    <t>Total Order</t>
  </si>
  <si>
    <t>Piece Adder</t>
  </si>
  <si>
    <t>Panel Adder</t>
  </si>
  <si>
    <t>Min Adder</t>
  </si>
  <si>
    <t>Notes</t>
  </si>
  <si>
    <t>1 Day</t>
  </si>
  <si>
    <t>Custom Adders</t>
  </si>
  <si>
    <t>Lead Time Multiplier</t>
  </si>
  <si>
    <t>3 Week</t>
  </si>
  <si>
    <t>2 Week</t>
  </si>
  <si>
    <t>7 Day</t>
  </si>
  <si>
    <t>5 Day</t>
  </si>
  <si>
    <t>4 Day</t>
  </si>
  <si>
    <t>3 Day</t>
  </si>
  <si>
    <t>2 Day</t>
  </si>
  <si>
    <t>Med</t>
  </si>
  <si>
    <t>Tooling:</t>
  </si>
  <si>
    <t>1-Layer IMPCB</t>
  </si>
  <si>
    <t>2-Layer IMPCB</t>
  </si>
  <si>
    <t>3-Layer IMPCB</t>
  </si>
  <si>
    <t>4-Layer IMPCB</t>
  </si>
  <si>
    <t>Price Bracket:</t>
  </si>
  <si>
    <t>Counter Sink</t>
  </si>
  <si>
    <t>C-Sink</t>
  </si>
  <si>
    <t>Via Fill / Plug</t>
  </si>
  <si>
    <t>Via-Plug</t>
  </si>
  <si>
    <t>Outside Test</t>
  </si>
  <si>
    <t>Gold Type</t>
  </si>
  <si>
    <t>Min Panel</t>
  </si>
  <si>
    <t>Min Lot</t>
  </si>
  <si>
    <t>M</t>
  </si>
  <si>
    <t>B</t>
  </si>
  <si>
    <t>Hard Gold</t>
  </si>
  <si>
    <t>Soft Gold</t>
  </si>
  <si>
    <t>Customer Name/Code</t>
  </si>
  <si>
    <t>Quote Number/Job Number</t>
  </si>
  <si>
    <t>#Up per Panel</t>
  </si>
  <si>
    <t>Board Thickness</t>
  </si>
  <si>
    <t>Gold Thickness(uIn)</t>
  </si>
  <si>
    <t>Square Inch Price</t>
  </si>
  <si>
    <t>Top Layer Sq In. (Single Pc.)</t>
  </si>
  <si>
    <t>Bottom Layer Sq In. (Single Pc.)</t>
  </si>
  <si>
    <t>Plated Hole Chart</t>
  </si>
  <si>
    <t>Piece Total:</t>
  </si>
  <si>
    <t>Diameter</t>
  </si>
  <si>
    <t>Qty</t>
  </si>
  <si>
    <t>Sq In</t>
  </si>
  <si>
    <t>Panel Total:</t>
  </si>
  <si>
    <t>Panel Cost:</t>
  </si>
  <si>
    <t>Process Steps</t>
  </si>
  <si>
    <t>2001 Landmeier Road</t>
  </si>
  <si>
    <t>Elk Grove Village, IL 60007</t>
  </si>
  <si>
    <t>ph:  (847)290-9800</t>
  </si>
  <si>
    <t>fax: (847)290-9823</t>
  </si>
  <si>
    <t>Quotation</t>
  </si>
  <si>
    <t>Quote #:</t>
  </si>
  <si>
    <t>Date:</t>
  </si>
  <si>
    <t>Part Number:</t>
  </si>
  <si>
    <t>Part Details</t>
  </si>
  <si>
    <t>Layer Count :</t>
  </si>
  <si>
    <t>Material Type :</t>
  </si>
  <si>
    <t>Thickness :</t>
  </si>
  <si>
    <t>Surface Finish :</t>
  </si>
  <si>
    <t>Carbon Ink</t>
  </si>
  <si>
    <t>Amortize?</t>
  </si>
  <si>
    <t>Board Thickness Predictions</t>
  </si>
  <si>
    <t>Predicted</t>
  </si>
  <si>
    <t>Prepreg Quantities</t>
  </si>
  <si>
    <t>Core</t>
  </si>
  <si>
    <t>(mils)</t>
  </si>
  <si>
    <t>Prepreg</t>
  </si>
  <si>
    <t>Cu 2</t>
  </si>
  <si>
    <t>Cu 3</t>
  </si>
  <si>
    <t>Cu 4</t>
  </si>
  <si>
    <t>Cu 5</t>
  </si>
  <si>
    <t>Cu 6</t>
  </si>
  <si>
    <t>Cu 7</t>
  </si>
  <si>
    <t>Cu 8</t>
  </si>
  <si>
    <t>Cu 9</t>
  </si>
  <si>
    <t>Cu 10</t>
  </si>
  <si>
    <t>Cu 11</t>
  </si>
  <si>
    <t>Cu 12</t>
  </si>
  <si>
    <t>Cu 13</t>
  </si>
  <si>
    <t>Cu 14</t>
  </si>
  <si>
    <t>Cu 15</t>
  </si>
  <si>
    <t>Cu 16</t>
  </si>
  <si>
    <t>Cu 17</t>
  </si>
  <si>
    <t>Resin%</t>
  </si>
  <si>
    <t>Quoted By:</t>
  </si>
  <si>
    <t>Job Number:</t>
  </si>
  <si>
    <t>Priority:</t>
  </si>
  <si>
    <t>Due Date:</t>
  </si>
  <si>
    <t>Previous Rev:</t>
  </si>
  <si>
    <t>General Spec?</t>
  </si>
  <si>
    <t>Order Qty:</t>
  </si>
  <si>
    <t>Order Value:</t>
  </si>
  <si>
    <t>Cust Code:</t>
  </si>
  <si>
    <t>Electrical Test?</t>
  </si>
  <si>
    <t>Email:</t>
  </si>
  <si>
    <t>Rev:</t>
  </si>
  <si>
    <t>Carbon</t>
  </si>
  <si>
    <t>Via Plug</t>
  </si>
  <si>
    <t>Score</t>
  </si>
  <si>
    <t>Route</t>
  </si>
  <si>
    <t>Sales Notes</t>
  </si>
  <si>
    <t>Methods Notes</t>
  </si>
  <si>
    <t>Deep Gold</t>
  </si>
  <si>
    <t>Impd Test?</t>
  </si>
  <si>
    <t>Company:</t>
  </si>
  <si>
    <t>Contact Name:</t>
  </si>
  <si>
    <t>Contact Phone:</t>
  </si>
  <si>
    <t>Thickness:</t>
  </si>
  <si>
    <t>Surface Finish:</t>
  </si>
  <si>
    <t>Sales</t>
  </si>
  <si>
    <t>Layer count:</t>
  </si>
  <si>
    <t>Material Type:</t>
  </si>
  <si>
    <t>Order Worksheet</t>
  </si>
  <si>
    <t>Min</t>
  </si>
  <si>
    <t>% adder</t>
  </si>
  <si>
    <t>X-Out</t>
  </si>
  <si>
    <t>High Min</t>
  </si>
  <si>
    <t>Cheap protos</t>
  </si>
  <si>
    <t>Hi Pot?</t>
  </si>
  <si>
    <t>Drilling</t>
  </si>
  <si>
    <t>Route 1</t>
  </si>
  <si>
    <t>Panel Plate</t>
  </si>
  <si>
    <t>Yellow Room</t>
  </si>
  <si>
    <t>Copper Plate</t>
  </si>
  <si>
    <t>Route 2</t>
  </si>
  <si>
    <t>Etching</t>
  </si>
  <si>
    <t>Tab Gold</t>
  </si>
  <si>
    <t>Peelable mask</t>
  </si>
  <si>
    <t>2nd Stage Drill</t>
  </si>
  <si>
    <t>Bevel</t>
  </si>
  <si>
    <t>Mill / C-Sink</t>
  </si>
  <si>
    <t>Drill Inner Layers:</t>
  </si>
  <si>
    <t>Special</t>
  </si>
  <si>
    <t>Old Model</t>
  </si>
  <si>
    <t>Isola Model</t>
  </si>
  <si>
    <t>IPC/Actual Model</t>
  </si>
  <si>
    <t>Grace Model</t>
  </si>
  <si>
    <t>Min Copper</t>
  </si>
  <si>
    <t>Max Copper</t>
  </si>
  <si>
    <t>After Press</t>
  </si>
  <si>
    <t>Total Finished</t>
  </si>
  <si>
    <t>Rev 9/5/13</t>
  </si>
  <si>
    <t>Oz Cu</t>
  </si>
  <si>
    <t>Copper %</t>
  </si>
  <si>
    <t>Old Thk</t>
  </si>
  <si>
    <t>Isola Thk</t>
  </si>
  <si>
    <t>Actual Thk</t>
  </si>
  <si>
    <t>grace thk</t>
  </si>
  <si>
    <t>avg</t>
  </si>
  <si>
    <t>Isola glass 1</t>
  </si>
  <si>
    <t>isola glass 2</t>
  </si>
  <si>
    <t>ipc glass</t>
  </si>
  <si>
    <t>grace glass</t>
  </si>
  <si>
    <t>Glass Compress warn</t>
  </si>
  <si>
    <t>Glass compress Max</t>
  </si>
  <si>
    <t>Starve</t>
  </si>
  <si>
    <t>Cu 1</t>
  </si>
  <si>
    <t>Cu 18</t>
  </si>
  <si>
    <t>X-Outs Allowed:</t>
  </si>
  <si>
    <t>Min Lot:</t>
  </si>
  <si>
    <t>DES Pricing 5/1/2011 (Nickel underplate not included here)</t>
  </si>
  <si>
    <t>Standard:  .062"</t>
  </si>
  <si>
    <t>Thin Panels: &lt;.031"</t>
  </si>
  <si>
    <t>FR-4 per IPC-4101/21</t>
  </si>
  <si>
    <t>FR-4 min. Tg 170</t>
  </si>
  <si>
    <t>FR-4 min. Tg 180</t>
  </si>
  <si>
    <t>FR-4 per IPC-4101/126</t>
  </si>
  <si>
    <t>Full Mechanical</t>
  </si>
  <si>
    <t>Ionic Testing</t>
  </si>
  <si>
    <t>First Article Submission Report</t>
  </si>
  <si>
    <t>TDR Testing</t>
  </si>
  <si>
    <t>Uneven Copper</t>
  </si>
  <si>
    <t>#Up / Panel:</t>
  </si>
  <si>
    <t>Print &amp; Etch Layers:</t>
  </si>
  <si>
    <t>Plate &amp; Etch Layers:</t>
  </si>
  <si>
    <t>Engineered By:</t>
  </si>
  <si>
    <t>CAM Notes</t>
  </si>
  <si>
    <t>Entered By:</t>
  </si>
  <si>
    <t>Methods By:</t>
  </si>
  <si>
    <t/>
  </si>
  <si>
    <t>Revision:</t>
  </si>
  <si>
    <t>Comments</t>
  </si>
  <si>
    <t>Lot Charge</t>
  </si>
  <si>
    <t>;act015@B2;2@D2;@A3;@B3;2@C3;1@D3;2@E3;3@F3;4@G3;213456@B4;5@C4;@H4;@I4;@J4;@K4;@L4;123654@B5;@C5;@H5;@I5;@J5;@K5;@L5;a@B6;@C6;@H6;@I6;@J6;@K6;@L6;5@B7;@C7;@H7;@I7;@J7;@K7;@L7;@B8;@C8;@H8;@I8;@J8;@K8;@L8;2@B9;@C9;@H9;@I9;@J9;@K9;@L9;@C10;@H10;@I10;@J10;@K10;@L10;@C11;@H11;@I11;@J11;@K11;@L11;1@B12;@D12;@E12;@F12;@G12;@H12;@I12;@J12;@K12;@L12;@D13;@E13;@F13;@G13;@H13;@I13;@J13;@K13;@L13;@D14;@E14;@F14;@G14;@H14;@I14;@J14;@K14;@L14;1@B15;@D15;@E15;@F15;@G15;@H15;@I15;@J15;@K15;@L15;@D16;@E16;@F16;@G16;@H16;@I16;@J16;@K16;@L16;11@B20;@D20;@E20;@F20;1@B21;@D21;@E21;@F21;1@B22;@D22;@E22;@F22;2@B23;@D23;@E23;@F23;1@B24;@D24;@E24;@F24;1@B25;@D25;@E25;@F25;@B28;@D28;@E28;@F28;@B29;@D29;@E29;@F29;@B30;@D30;@E30;@F30;@B31;@D31;@E31;@F31;@B32;@D32;@E32;@F32;@B33;@D33;@E33;@F33;1@B34;@D34;@E34;@F34;1@B37;@C37;@D37;@E37;@F37;1@B38;@D38;@E38;@F38;1@B39;@C39;@D39;@E39;@F39;@B40;@D40;@E40;@F40;1@B41;@D41;@E41;@F41;1@B42;@C42;@D42;@E42;@F42;1@B43;@D43;@E43;@F43;1@B46;2@C46;@D46;@E46;@F46;1@B47;1@C47;@D47;@E47;@F47;1@B48;@D48;@E48;@F48;1@B49;@D49;@E49;@F49;1@B50;@D50;@E50;@F50;1@B53;@D53;@E53;@F53;1@B54;@D54;@E54;@F54;1@B55;@D55;@E55;@F55;5@B58;@C58;@D58;@E58;@F58;@B59;@D59;@E59;@F59;1@B60;@D60;@E60;@F60;1@B61;@D61;@E61;@F61;1@B62;@D62;@E62;@F62;1@B63;@D63;@E63;@F63;1@B64;@D64;@E64;@F64;1@B65;@D65;@E65;@F65;@A68;@B68;@C68;@D68;@E68;@F68;@G68;@H68;@I68;@J68;@K68;@L68;@A69;@B69;@C69;@D69;@E69;@F69;@G69;@H69;@I69;@J69;@K69;@L69;@A70;@B70;@C70;@D70;@E70;@F70;@G70;@H70;@I70;@J70;@K70;@L70</t>
  </si>
  <si>
    <t>Format:</t>
  </si>
  <si>
    <t>Initial Order</t>
  </si>
  <si>
    <t>Repeat Orders</t>
  </si>
  <si>
    <t>AS9102</t>
  </si>
  <si>
    <t>C of C</t>
  </si>
  <si>
    <t>Class 3</t>
  </si>
  <si>
    <t>Material Certs</t>
  </si>
  <si>
    <t>Cert of Origin</t>
  </si>
  <si>
    <t>BoardSizeX</t>
  </si>
  <si>
    <t>BoardSizeY</t>
  </si>
  <si>
    <t>Inner_Cu</t>
  </si>
  <si>
    <t>Outer_Cu</t>
  </si>
  <si>
    <t>UserName</t>
  </si>
  <si>
    <t>UserPath</t>
  </si>
  <si>
    <t>LucMa</t>
  </si>
  <si>
    <t>D:\I8\Export\QED</t>
  </si>
  <si>
    <t>Amber</t>
  </si>
  <si>
    <t>C:\Documents and Settings\tyson\My Documents\Dropbox (PCB Genius)\Sales\Amber</t>
  </si>
  <si>
    <t>Cathy</t>
  </si>
  <si>
    <t>C:\Documents and Settings\tyson\My Documents\Dropbox (PCB Genius)\Sales\Cathy</t>
  </si>
  <si>
    <t>Chris</t>
  </si>
  <si>
    <t>C:\Documents and Settings\tyson\My Documents\Dropbox (PCB Genius)\Sales\Chris</t>
  </si>
  <si>
    <t>Lorraine</t>
  </si>
  <si>
    <t>C:\Documents and Settings\tyson\My Documents\Dropbox (PCB Genius)\Sales\Lorraine</t>
  </si>
  <si>
    <t>Matt</t>
  </si>
  <si>
    <t>C:\Documents and Settings\tyson\My Documents\Dropbox (PCB Genius)\Sales\Matt</t>
  </si>
  <si>
    <t>Sue</t>
  </si>
  <si>
    <t>C:\Documents and Settings\tyson\My Documents\Dropbox (PCB Genius)\Sales\Sue</t>
  </si>
  <si>
    <t>Tom</t>
  </si>
  <si>
    <t>C:\Documents and Settings\tyson\My Documents\Dropbox (PCB Genius)\Sales\Tom</t>
  </si>
  <si>
    <t>Tyson</t>
  </si>
  <si>
    <t>Jola</t>
  </si>
  <si>
    <t>Material</t>
  </si>
  <si>
    <t>ArraySizeX</t>
  </si>
  <si>
    <t>ArraySizeY</t>
  </si>
  <si>
    <t>S:\Amitron</t>
  </si>
  <si>
    <t>Non Cond. (All holes filled)</t>
  </si>
  <si>
    <t>Non Cond. (&gt;.006" Space)</t>
  </si>
  <si>
    <t>Non Cond. (&gt;0.005" Space</t>
  </si>
  <si>
    <t>Non Cond. (&gt;0.004" Space)</t>
  </si>
  <si>
    <t>Cond. (All holes filled)</t>
  </si>
  <si>
    <t>Cond. (&gt;0.005" Space)</t>
  </si>
  <si>
    <t>Cond. (&gt;0.006" Space)</t>
  </si>
  <si>
    <t>Cond. (&gt;0.004" Space)</t>
  </si>
  <si>
    <t>Via Fill</t>
  </si>
  <si>
    <t>Aluminum Finish</t>
  </si>
  <si>
    <t>SiPad</t>
  </si>
  <si>
    <t>Aluminum</t>
  </si>
  <si>
    <t>Anodize (Panel Form)</t>
  </si>
  <si>
    <t>Anodize(Piece Form)</t>
  </si>
  <si>
    <t>Chromate(Panel Form)</t>
  </si>
  <si>
    <t>Chromate(Piece Form)</t>
  </si>
  <si>
    <t>Quality Spec</t>
  </si>
  <si>
    <t>IPC-600 Class 3</t>
  </si>
  <si>
    <t>IPC Class 3 + Coupons</t>
  </si>
  <si>
    <t>IPC Class 3 + A/B Coupons</t>
  </si>
  <si>
    <t>Quality Spec:</t>
  </si>
  <si>
    <t>Stencils:</t>
  </si>
  <si>
    <t>Electrical Test:</t>
  </si>
  <si>
    <t>Prices valid for 30 days and subject to change based on artwork review. Unless otherwise quoted prices are based on listed quantities shipping in one lot. All deliveries are FOB Elk Grove Village, IL. Due to the time critical nature of expedited orders with less than 5 days of lead time, shipment via ground service cannot be guaranteed. Expedited shipping may be required to ensure requested delivery.</t>
  </si>
  <si>
    <t>Stencils</t>
  </si>
  <si>
    <t>MIL-55110 App. A</t>
  </si>
  <si>
    <t>MIL-31032 Rev. C</t>
  </si>
  <si>
    <t>ITAR:</t>
  </si>
  <si>
    <t>IPC Class 2</t>
  </si>
  <si>
    <t>First Article</t>
  </si>
  <si>
    <t>RoHS Cert</t>
  </si>
  <si>
    <t>TDR Report</t>
  </si>
  <si>
    <t>TDR Coupons(Send)</t>
  </si>
  <si>
    <t>Solderability Test</t>
  </si>
  <si>
    <t>Solder Sample(Send tested Pc.)</t>
  </si>
  <si>
    <t>ET Cert</t>
  </si>
  <si>
    <t>IPC Coupons(Send)</t>
  </si>
  <si>
    <t>Solder Sample(Send Un-Tested)</t>
  </si>
  <si>
    <t>F/A List</t>
  </si>
  <si>
    <t>CoC List</t>
  </si>
  <si>
    <t>X-Sect. Report</t>
  </si>
  <si>
    <t>X-Sect. - Send puck</t>
  </si>
  <si>
    <t>Surface Finish Cert</t>
  </si>
  <si>
    <t>X-Sec List</t>
  </si>
  <si>
    <t>Class 2</t>
  </si>
  <si>
    <t>MIL-PRF-31032</t>
  </si>
  <si>
    <t>MIL-PRF-55110</t>
  </si>
  <si>
    <t>Sipad-None</t>
  </si>
  <si>
    <t>Sipad-1 Side</t>
  </si>
  <si>
    <t>Sipad-2 Sides</t>
  </si>
  <si>
    <t>2019 price increase</t>
  </si>
  <si>
    <t>+$5 per panel</t>
  </si>
  <si>
    <t>panel price only</t>
  </si>
  <si>
    <t>Make Mtl</t>
  </si>
  <si>
    <t>Flags</t>
  </si>
  <si>
    <t>Multilayer</t>
  </si>
  <si>
    <t>Metal Base</t>
  </si>
  <si>
    <t>Aluminum Base</t>
  </si>
  <si>
    <t>Via_Plug</t>
  </si>
  <si>
    <t>IS</t>
  </si>
  <si>
    <t>IS NOT</t>
  </si>
  <si>
    <t>Status</t>
  </si>
  <si>
    <t>This is where we type the verbage for what we want to check</t>
  </si>
  <si>
    <t>For:</t>
  </si>
  <si>
    <t>Methods</t>
  </si>
  <si>
    <t>Via_Fill</t>
  </si>
  <si>
    <t>Sent Out By:</t>
  </si>
  <si>
    <t>2020 price change</t>
  </si>
  <si>
    <t>+$10 per panel</t>
  </si>
  <si>
    <t>+10 per panel</t>
  </si>
  <si>
    <t>+$1 per panel</t>
  </si>
  <si>
    <t>$+1 per panel</t>
  </si>
  <si>
    <t>.006" Finished</t>
  </si>
  <si>
    <t>Aspect Ratio:</t>
  </si>
  <si>
    <t>X-Outs?</t>
  </si>
  <si>
    <t>IMS PCB - AIS Malibar</t>
  </si>
  <si>
    <t>Cross Section:</t>
  </si>
  <si>
    <t>Integrator #:</t>
  </si>
  <si>
    <t>2021 price changes</t>
  </si>
  <si>
    <t>Layers</t>
  </si>
  <si>
    <t>Outer Copper</t>
  </si>
  <si>
    <t>Inner Copper</t>
  </si>
  <si>
    <t>Copper In Hole</t>
  </si>
  <si>
    <t>Layer</t>
  </si>
  <si>
    <t>Spec</t>
  </si>
  <si>
    <t>Actual</t>
  </si>
  <si>
    <t>Other checks</t>
  </si>
  <si>
    <t>Seperation</t>
  </si>
  <si>
    <t>etchback</t>
  </si>
  <si>
    <t>lam voids</t>
  </si>
  <si>
    <t>Description</t>
  </si>
  <si>
    <t>+7% per panel</t>
  </si>
  <si>
    <t>FR-4 /129 (No Longer Available!!)</t>
  </si>
  <si>
    <t>+8% per panel</t>
  </si>
  <si>
    <t>+3/pnl</t>
  </si>
  <si>
    <t>+4/pnl</t>
  </si>
  <si>
    <t>+7%</t>
  </si>
  <si>
    <t>2021 v2.0</t>
  </si>
  <si>
    <t>2021 Oct Increase</t>
  </si>
  <si>
    <t>Price History</t>
  </si>
  <si>
    <t>2022 price change</t>
  </si>
  <si>
    <t>2.5% panel and setup</t>
  </si>
  <si>
    <t>v4.01</t>
  </si>
  <si>
    <t>cathy</t>
  </si>
  <si>
    <t>SAM339</t>
  </si>
  <si>
    <t>SAMINCO</t>
  </si>
  <si>
    <t>;SAM339@B2;2@D2;v4.01@J2;SAMINCO@A3;@B3;1@C3;1@D3;2@E3;3@F3;4@G3;304587@B4;30@C4;@H4;@I4;@J4;@K4;@L4;MB2623@B5;@C5;@H5;@I5;@J5;@K5;@L5;V3R0@B6;@C6;@H6;@I6;@J6;@K6;@L6;8@B7;@C7;@H7;@I7;@J7;@K7;@L7;2@B8;@C8;@H8;@I8;@J8;@K8;@L8;2@B9;@C9;@H9;@I9;@J9;@K9;@L9;@C10;@H10;@I10;@J10;@K10;@L10;2@B11;@C11;@H11;@I11;@J11;@K11;@L11;@D12;@E12;@F12;@G12;@H12;@I12;@J12;@K12;@L12;2@B13;@D13;@E13;@F13;@G13;@H13;@I13;@J13;@K13;@L13;@D14;@E14;@F14;@G14;@H14;@I14;@J14;@K14;@L14;1@B15;@D15;@E15;@F15;@G15;@H15;@I15;@J15;@K15;@L15;-0.2@D16;@E16;@F16;@G16;@H16;@I16;@J16;@K16;@L16;6@B20;@D20;@E20;@F20;1@B21;@D21;@E21;@F21;2@B22;@D22;@E22;@F22;2@B23;@D23;@E23;@F23;2@B24;1@C24;@D24;@E24;@F24;1@B25;@D25;@E25;@F25;@B28;@D28;@E28;@F28;@B29;@D29;@E29;@F29;@B30;@D30;@E30;@F30;@B31;@D31;@E31;@F31;@B32;@D32;@E32;@F32;@B33;@D33;@E33;@F33;1@B34;@D34;@E34;@F34;1@B37;@C37;@D37;@E37;@F37;1@B38;@D38;@E38;@F38;8@B39;12@C39;@D39;@E39;@F39;@B40;@D40;@E40;@F40;1@B41;@D41;@E41;@F41;2@B42;5@C42;@D42;@E42;@F42;1@B43;@D43;@E43;@F43;1@B46;2@C46;@D46;@E46;@F46;2@B47;2@C47;@D47;@E47;@F47;1@B48;@D48;@E48;@F48;1@B49;@D49;@E49;@F49;1@B50;@D50;@E50;@F50;1@B53;@D53;@E53;@F53;1@B54;@D54;@E54;@F54;@B55;@D55;@E55;@F55;1@B58;470@C58;@D58;@E58;@F58;1@B59;@D59;@E59;@F59;1@B60;@D60;@E60;@F60;2@B61;@D61;@E61;@F61;1@B62;@D62;@E62;@F62;1@B63;@D63;@E63;@F63;1@B64;@D64;@E64;@F64;1@B65;@D65;@E65;@F65;@A68;@B68;@C68;@D68;@E68;@F68;@G68;@H68;@I68;@J68;@K68;@L68;@A69;@B69;@C69;@D69;@E69;@F69;@G69;@H69;@I69;@J69;@K69;@L69;@A70;@B70;@C70;@D70;@E70;@F70;@G70;@H70;@I70;@J70;@K70;@L70</t>
  </si>
  <si>
    <t>MB2623 Rev. V3R0</t>
  </si>
  <si>
    <t>Slots, Scoring</t>
  </si>
  <si>
    <t>2-Up Array</t>
  </si>
  <si>
    <t>7.1'' x 10.6''</t>
  </si>
  <si>
    <t xml:space="preserve">Soldermask: Green - 2 Sides
Legend: White - 1 Side
</t>
  </si>
  <si>
    <t>Electrical Test: Flying Probe
Full Mechanical</t>
  </si>
  <si>
    <t xml:space="preserve">New Rev
Customer array </t>
  </si>
  <si>
    <t>MB2623-V4R0</t>
  </si>
  <si>
    <t>V4R0</t>
  </si>
  <si>
    <t xml:space="preserve">Green - assumed </t>
  </si>
  <si>
    <t xml:space="preserve">101576/q304587 18%, 15%  off india </t>
  </si>
  <si>
    <t>;SAM339@B2;2@D2;v4.01@J2;SAMINCO@A3;@B3;1@C3;1@D3;1@E3;3@F3;4@G3;306624@B4;30@C4;@H4;@I4;@J4;@K4;@L4;MB2623-V4R0@B5;60@C5;@H5;@I5;@J5;@K5;@L5;V4R0@B6;@C6;@H6;@I6;@J6;@K6;@L6;8@B7;@C7;@H7;@I7;@J7;@K7;@L7;2@B8;@C8;@H8;@I8;@J8;@K8;@L8;2@B9;@C9;@H9;@I9;@J9;@K9;@L9;@C10;@H10;@I10;@J10;@K10;@L10;2@B11;40@C11;@H11;@I11;@J11;@K11;@L11;@D12;@E12;@F12;@G12;New Rev
Customer array @H12;@I12;@J12;@K12;@L12;2@B13;@D13;@E13;@F13;@G13;@H13;@I13;@J13;@K13;@L13;@D14;@E14;@F14;@G14;@H14;@I14;@J14;@K14;@L14;1@B15;@D15;@E15;@F15;@G15;@H15;@I15;@J15;@K15;@L15;-0.1802@D16;@E16;@F16;@G16;@H16;@I16;@J16;@K16;@L16;6@B20;@D20;@E20;@F20;1@B21;@D21;@E21;@F21;2@B22;@D22;@E22;@F22;2@B23;@D23;@E23;@F23;2@B24;1@C24;@D24;@E24;@F24;1@B25;@D25;@E25;@F25;@B28;@D28;@E28;@F28;@B29;@D29;@E29;@F29;@B30;@D30;@E30;@F30;@B31;@D31;@E31;@F31;@B32;@D32;@E32;@F32;@B33;@D33;@E33;@F33;1@B34;@D34;@E34;@F34;1@B37;@C37;@D37;@E37;@F37;1@B38;@D38;@E38;@F38;6@B39;12@C39;@D39;@E39;@F39;@B40;@D40;@E40;@F40;1@B41;@D41;@E41;@F41;2@B42;5@C42;@D42;@E42;@F42;1@B43;@D43;@E43;@F43;1@B46;2@C46;Green - assumed @D46;@E46;@F46;2@B47;2@C47;@D47;@E47;@F47;1@B48;@D48;@E48;@F48;1@B49;@D49;@E49;@F49;1@B50;@D50;@E50;@F50;1@B53;@D53;@E53;@F53;1@B54;@D54;@E54;@F54;@B55;@D55;@E55;@F55;1@B58;470@C58;@D58;@E58;@F58;1@B59;@D59;@E59;@F59;1@B60;@D60;@E60;@F60;2@B61;@D61;@E61;@F61;1@B62;@D62;@E62;@F62;1@B63;@D63;@E63;@F63;1@B64;@D64;@E64;@F64;1@B65;@D65;@E65;@F65;@A68;@B68;@C68;@D68;@E68;@F68;@G68;@H68;@I68;@J68;@K68;@L68;@A69;@B69;@C69;@D69;@E69;@F69;@G69;@H69;@I69;@J69;@K69;@L69;101576/q304587 18%, 15%  off india @A70;@B70;@C70;@D70;@E70;@F70;@G70;@H70;@I70;@J70;@K70;@L70</t>
  </si>
  <si>
    <t>jola</t>
  </si>
  <si>
    <t>MB2623-V4R0 Rev. V4R0</t>
  </si>
  <si>
    <t xml:space="preserve">Soldermask: Green - assumed 
Legend: White - 1 Side
</t>
  </si>
  <si>
    <t xml:space="preserve">2oz / 1oz Cu </t>
  </si>
  <si>
    <t>YES</t>
  </si>
  <si>
    <t>60</t>
  </si>
  <si>
    <t>rfioravanti@samincoinc.com</t>
  </si>
  <si>
    <t>Rita</t>
  </si>
  <si>
    <t>Customer Service Rep:LC</t>
  </si>
  <si>
    <t>Sean Randunne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</si>
</sst>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7" formatCode="&quot;$&quot;#,##0.00_);\(&quot;$&quot;#,##0.00\)"/>
    <numFmt numFmtId="44" formatCode="_(&quot;$&quot;* #,##0.00_);_(&quot;$&quot;* \(#,##0.00\);_(&quot;$&quot;* &quot;-&quot;??_);_(@_)"/>
    <numFmt numFmtId="43" formatCode="_(* #,##0.00_);_(* \(#,##0.00\);_(* &quot;-&quot;??_);_(@_)"/>
    <numFmt numFmtId="164" formatCode="0.000\'\'"/>
    <numFmt numFmtId="165" formatCode="#&quot; hits/pc&quot;"/>
    <numFmt numFmtId="166" formatCode="0&quot; slots/pc&quot;"/>
    <numFmt numFmtId="167" formatCode="&quot;$&quot;#,##0.00"/>
    <numFmt numFmtId="168" formatCode="0.0%"/>
    <numFmt numFmtId="169" formatCode="#&quot; lines/arry&quot;"/>
    <numFmt numFmtId="170" formatCode="#&quot;/pc&quot;"/>
    <numFmt numFmtId="171" formatCode="#&quot; test pts&quot;"/>
    <numFmt numFmtId="172" formatCode="##&quot;uIn&quot;"/>
    <numFmt numFmtId="173" formatCode="0.0"/>
    <numFmt numFmtId="174" formatCode="_(* #,##0_);_(* \(#,##0\);_(* &quot;-&quot;??_);_(@_)"/>
    <numFmt numFmtId="175" formatCode="[$-409]m/d/yy\ h:mm\ AM/PM;@"/>
    <numFmt numFmtId="176" formatCode="0.00&quot; Sq In&quot;"/>
    <numFmt numFmtId="177" formatCode="#&quot; Layer(s)&quot;"/>
    <numFmt numFmtId="178" formatCode="#,##0&quot; Pcs.&quot;"/>
    <numFmt numFmtId="179" formatCode="&quot;$&quot;#,##0.00&quot; ea.&quot;"/>
    <numFmt numFmtId="180" formatCode="&quot;$&quot;#,##0.00&quot; Lot&quot;"/>
    <numFmt numFmtId="181" formatCode="0.000"/>
    <numFmt numFmtId="182" formatCode="0&quot;:1&quot;"/>
  </numFmts>
  <fonts count="50" x14ac:knownFonts="1">
    <font>
      <sz val="11"/>
      <color theme="1"/>
      <name val="Calibri"/>
      <family val="2"/>
      <scheme val="minor"/>
    </font>
    <font>
      <sz val="11"/>
      <color theme="1"/>
      <name val="Calibri"/>
      <family val="2"/>
      <scheme val="minor"/>
    </font>
    <font>
      <b/>
      <u/>
      <sz val="11"/>
      <color theme="1"/>
      <name val="Calibri"/>
      <family val="2"/>
      <scheme val="minor"/>
    </font>
    <font>
      <i/>
      <sz val="11"/>
      <color theme="1"/>
      <name val="Calibri"/>
      <family val="2"/>
      <scheme val="minor"/>
    </font>
    <font>
      <b/>
      <u/>
      <sz val="10"/>
      <color theme="1"/>
      <name val="Calibri"/>
      <family val="2"/>
      <scheme val="minor"/>
    </font>
    <font>
      <sz val="8"/>
      <color theme="1"/>
      <name val="Calibri"/>
      <family val="2"/>
      <scheme val="minor"/>
    </font>
    <font>
      <b/>
      <sz val="11"/>
      <color theme="1"/>
      <name val="Calibri"/>
      <family val="2"/>
      <scheme val="minor"/>
    </font>
    <font>
      <b/>
      <sz val="13"/>
      <color theme="1"/>
      <name val="Calibri"/>
      <family val="2"/>
      <scheme val="minor"/>
    </font>
    <font>
      <sz val="10"/>
      <color theme="1"/>
      <name val="Calibri"/>
      <family val="2"/>
      <scheme val="minor"/>
    </font>
    <font>
      <sz val="9"/>
      <color theme="1"/>
      <name val="Calibri"/>
      <family val="2"/>
      <scheme val="minor"/>
    </font>
    <font>
      <sz val="10"/>
      <name val="Arial"/>
      <family val="2"/>
    </font>
    <font>
      <b/>
      <sz val="12"/>
      <name val="Arial"/>
      <family val="2"/>
    </font>
    <font>
      <b/>
      <u/>
      <sz val="10"/>
      <name val="Arial"/>
      <family val="2"/>
    </font>
    <font>
      <i/>
      <sz val="10"/>
      <name val="Arial"/>
      <family val="2"/>
    </font>
    <font>
      <i/>
      <sz val="12"/>
      <name val="Arial"/>
      <family val="2"/>
    </font>
    <font>
      <i/>
      <u/>
      <sz val="10"/>
      <name val="Arial"/>
      <family val="2"/>
    </font>
    <font>
      <b/>
      <i/>
      <sz val="12"/>
      <name val="Arial"/>
      <family val="2"/>
    </font>
    <font>
      <b/>
      <sz val="20"/>
      <name val="Arial"/>
      <family val="2"/>
    </font>
    <font>
      <b/>
      <sz val="10"/>
      <name val="Arial"/>
      <family val="2"/>
    </font>
    <font>
      <sz val="12"/>
      <name val="Arial"/>
      <family val="2"/>
    </font>
    <font>
      <u/>
      <sz val="10"/>
      <color theme="10"/>
      <name val="Arial"/>
      <family val="2"/>
    </font>
    <font>
      <sz val="11"/>
      <name val="Arial Black"/>
      <family val="2"/>
    </font>
    <font>
      <sz val="8"/>
      <name val="Arial Black"/>
      <family val="2"/>
    </font>
    <font>
      <sz val="10"/>
      <name val="Arial Black"/>
      <family val="2"/>
    </font>
    <font>
      <b/>
      <sz val="12"/>
      <name val="Arial Black"/>
      <family val="2"/>
    </font>
    <font>
      <i/>
      <sz val="8"/>
      <name val="Arial Black"/>
      <family val="2"/>
    </font>
    <font>
      <sz val="8"/>
      <name val="Arial"/>
      <family val="2"/>
    </font>
    <font>
      <u/>
      <sz val="9"/>
      <name val="Arial Black"/>
      <family val="2"/>
    </font>
    <font>
      <b/>
      <u/>
      <sz val="14"/>
      <name val="Arial"/>
      <family val="2"/>
    </font>
    <font>
      <sz val="7"/>
      <name val="Arial"/>
      <family val="2"/>
    </font>
    <font>
      <u/>
      <sz val="11"/>
      <color theme="10"/>
      <name val="Calibri"/>
      <family val="2"/>
    </font>
    <font>
      <sz val="9"/>
      <name val="Arial Black"/>
      <family val="2"/>
    </font>
    <font>
      <sz val="14"/>
      <name val="Arial"/>
      <family val="2"/>
    </font>
    <font>
      <b/>
      <sz val="18"/>
      <name val="Arial"/>
      <family val="2"/>
    </font>
    <font>
      <b/>
      <sz val="11"/>
      <name val="Arial"/>
      <family val="2"/>
    </font>
    <font>
      <b/>
      <i/>
      <u/>
      <sz val="10"/>
      <name val="Arial"/>
      <family val="2"/>
    </font>
    <font>
      <sz val="9"/>
      <name val="Arial"/>
      <family val="2"/>
    </font>
    <font>
      <sz val="8"/>
      <color indexed="81"/>
      <name val="Tahoma"/>
      <family val="2"/>
    </font>
    <font>
      <b/>
      <sz val="8"/>
      <color indexed="81"/>
      <name val="Tahoma"/>
      <family val="2"/>
    </font>
    <font>
      <b/>
      <i/>
      <sz val="10"/>
      <name val="Arial"/>
      <family val="2"/>
    </font>
    <font>
      <sz val="11"/>
      <color theme="1"/>
      <name val="Times New Roman"/>
      <family val="1"/>
    </font>
    <font>
      <sz val="14"/>
      <color theme="1"/>
      <name val="Times New Roman"/>
      <family val="1"/>
    </font>
    <font>
      <sz val="11"/>
      <name val="Arial"/>
      <family val="2"/>
    </font>
    <font>
      <i/>
      <sz val="8"/>
      <name val="Calibri"/>
      <family val="2"/>
      <scheme val="minor"/>
    </font>
    <font>
      <sz val="11"/>
      <color rgb="FF000000"/>
      <name val="Calibri"/>
      <family val="2"/>
    </font>
    <font>
      <i/>
      <sz val="9"/>
      <color theme="1"/>
      <name val="Calibri"/>
      <family val="2"/>
      <scheme val="minor"/>
    </font>
    <font>
      <b/>
      <i/>
      <sz val="11"/>
      <color theme="1"/>
      <name val="Calibri"/>
      <family val="2"/>
      <scheme val="minor"/>
    </font>
    <font>
      <sz val="6"/>
      <name val="Arial Black"/>
      <family val="2"/>
    </font>
    <font>
      <b/>
      <sz val="20"/>
      <color theme="1"/>
      <name val="Times New Roman"/>
      <family val="1"/>
    </font>
    <font>
      <b/>
      <sz val="11"/>
      <color rgb="FF000000"/>
      <name val="Calibri"/>
      <family val="2"/>
    </font>
  </fonts>
  <fills count="18">
    <fill>
      <patternFill patternType="none"/>
    </fill>
    <fill>
      <patternFill patternType="gray125"/>
    </fill>
    <fill>
      <patternFill patternType="solid">
        <fgColor theme="0" tint="-4.9989318521683403E-2"/>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rgb="FFFF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indexed="49"/>
        <bgColor indexed="64"/>
      </patternFill>
    </fill>
    <fill>
      <patternFill patternType="solid">
        <fgColor indexed="26"/>
        <bgColor indexed="64"/>
      </patternFill>
    </fill>
    <fill>
      <patternFill patternType="solid">
        <fgColor indexed="22"/>
        <bgColor indexed="64"/>
      </patternFill>
    </fill>
    <fill>
      <patternFill patternType="solid">
        <fgColor rgb="FFF2F2F2"/>
        <bgColor indexed="64"/>
      </patternFill>
    </fill>
    <fill>
      <patternFill patternType="solid">
        <fgColor theme="0" tint="-0.14996795556505021"/>
        <bgColor indexed="64"/>
      </patternFill>
    </fill>
    <fill>
      <patternFill patternType="solid">
        <fgColor rgb="FFFFFFFF"/>
        <bgColor indexed="64"/>
      </patternFill>
    </fill>
    <fill>
      <patternFill patternType="solid">
        <fgColor rgb="FF99FF66"/>
        <bgColor indexed="64"/>
      </patternFill>
    </fill>
    <fill>
      <patternFill patternType="solid">
        <fgColor rgb="FFFFFF00"/>
        <bgColor indexed="64"/>
      </patternFill>
    </fill>
  </fills>
  <borders count="137">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style="hair">
        <color indexed="64"/>
      </right>
      <top style="thin">
        <color indexed="64"/>
      </top>
      <bottom/>
      <diagonal/>
    </border>
    <border>
      <left/>
      <right style="hair">
        <color indexed="64"/>
      </right>
      <top/>
      <bottom/>
      <diagonal/>
    </border>
    <border>
      <left/>
      <right style="hair">
        <color indexed="64"/>
      </right>
      <top/>
      <bottom style="thin">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thin">
        <color indexed="64"/>
      </right>
      <top/>
      <bottom style="hair">
        <color indexed="64"/>
      </bottom>
      <diagonal/>
    </border>
    <border>
      <left style="thin">
        <color indexed="64"/>
      </left>
      <right style="medium">
        <color indexed="64"/>
      </right>
      <top/>
      <bottom style="hair">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style="hair">
        <color indexed="64"/>
      </right>
      <top style="double">
        <color indexed="64"/>
      </top>
      <bottom style="double">
        <color indexed="64"/>
      </bottom>
      <diagonal/>
    </border>
    <border>
      <left style="hair">
        <color indexed="64"/>
      </left>
      <right style="hair">
        <color indexed="64"/>
      </right>
      <top style="double">
        <color indexed="64"/>
      </top>
      <bottom style="double">
        <color indexed="64"/>
      </bottom>
      <diagonal/>
    </border>
    <border>
      <left style="hair">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style="medium">
        <color indexed="64"/>
      </right>
      <top style="thin">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right/>
      <top/>
      <bottom style="double">
        <color indexed="64"/>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64"/>
      </left>
      <right/>
      <top style="double">
        <color indexed="64"/>
      </top>
      <bottom/>
      <diagonal/>
    </border>
    <border>
      <left/>
      <right style="double">
        <color indexed="64"/>
      </right>
      <top style="double">
        <color indexed="64"/>
      </top>
      <bottom/>
      <diagonal/>
    </border>
    <border>
      <left style="hair">
        <color indexed="64"/>
      </left>
      <right/>
      <top/>
      <bottom/>
      <diagonal/>
    </border>
    <border>
      <left/>
      <right/>
      <top style="hair">
        <color indexed="64"/>
      </top>
      <bottom style="hair">
        <color indexed="64"/>
      </bottom>
      <diagonal/>
    </border>
    <border>
      <left style="hair">
        <color indexed="64"/>
      </left>
      <right/>
      <top style="hair">
        <color indexed="64"/>
      </top>
      <bottom style="hair">
        <color indexed="64"/>
      </bottom>
      <diagonal/>
    </border>
    <border>
      <left/>
      <right style="thin">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double">
        <color indexed="64"/>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top style="medium">
        <color indexed="64"/>
      </top>
      <bottom style="thin">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thin">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thin">
        <color indexed="64"/>
      </right>
      <top style="medium">
        <color indexed="64"/>
      </top>
      <bottom style="hair">
        <color indexed="64"/>
      </bottom>
      <diagonal/>
    </border>
    <border>
      <left/>
      <right style="thin">
        <color indexed="64"/>
      </right>
      <top style="medium">
        <color indexed="64"/>
      </top>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right/>
      <top style="thin">
        <color indexed="64"/>
      </top>
      <bottom style="hair">
        <color indexed="64"/>
      </bottom>
      <diagonal/>
    </border>
    <border>
      <left style="double">
        <color indexed="64"/>
      </left>
      <right/>
      <top style="hair">
        <color indexed="64"/>
      </top>
      <bottom style="hair">
        <color indexed="64"/>
      </bottom>
      <diagonal/>
    </border>
    <border>
      <left/>
      <right style="double">
        <color indexed="64"/>
      </right>
      <top style="hair">
        <color indexed="64"/>
      </top>
      <bottom style="hair">
        <color indexed="64"/>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right style="hair">
        <color indexed="64"/>
      </right>
      <top style="hair">
        <color indexed="64"/>
      </top>
      <bottom style="hair">
        <color indexed="64"/>
      </bottom>
      <diagonal/>
    </border>
    <border>
      <left/>
      <right style="double">
        <color indexed="64"/>
      </right>
      <top style="double">
        <color indexed="64"/>
      </top>
      <bottom style="hair">
        <color indexed="64"/>
      </bottom>
      <diagonal/>
    </border>
    <border>
      <left style="hair">
        <color indexed="64"/>
      </left>
      <right/>
      <top/>
      <bottom style="hair">
        <color indexed="64"/>
      </bottom>
      <diagonal/>
    </border>
    <border>
      <left/>
      <right style="hair">
        <color indexed="64"/>
      </right>
      <top/>
      <bottom style="hair">
        <color indexed="64"/>
      </bottom>
      <diagonal/>
    </border>
    <border>
      <left style="double">
        <color indexed="64"/>
      </left>
      <right/>
      <top style="double">
        <color indexed="64"/>
      </top>
      <bottom style="hair">
        <color indexed="64"/>
      </bottom>
      <diagonal/>
    </border>
    <border>
      <left/>
      <right/>
      <top style="double">
        <color indexed="64"/>
      </top>
      <bottom/>
      <diagonal/>
    </border>
    <border>
      <left/>
      <right style="medium">
        <color indexed="64"/>
      </right>
      <top style="thin">
        <color indexed="64"/>
      </top>
      <bottom style="thin">
        <color indexed="64"/>
      </bottom>
      <diagonal/>
    </border>
    <border>
      <left style="double">
        <color indexed="64"/>
      </left>
      <right style="hair">
        <color indexed="64"/>
      </right>
      <top style="double">
        <color indexed="64"/>
      </top>
      <bottom style="hair">
        <color indexed="64"/>
      </bottom>
      <diagonal/>
    </border>
    <border>
      <left style="hair">
        <color indexed="64"/>
      </left>
      <right style="double">
        <color indexed="64"/>
      </right>
      <top style="double">
        <color indexed="64"/>
      </top>
      <bottom style="hair">
        <color indexed="64"/>
      </bottom>
      <diagonal/>
    </border>
    <border>
      <left style="double">
        <color indexed="64"/>
      </left>
      <right style="hair">
        <color indexed="64"/>
      </right>
      <top style="hair">
        <color indexed="64"/>
      </top>
      <bottom style="double">
        <color indexed="64"/>
      </bottom>
      <diagonal/>
    </border>
    <border>
      <left style="hair">
        <color indexed="64"/>
      </left>
      <right style="double">
        <color indexed="64"/>
      </right>
      <top style="hair">
        <color indexed="64"/>
      </top>
      <bottom style="double">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double">
        <color indexed="64"/>
      </left>
      <right/>
      <top style="hair">
        <color indexed="64"/>
      </top>
      <bottom style="double">
        <color indexed="64"/>
      </bottom>
      <diagonal/>
    </border>
    <border>
      <left/>
      <right style="hair">
        <color indexed="64"/>
      </right>
      <top style="hair">
        <color indexed="64"/>
      </top>
      <bottom style="double">
        <color indexed="64"/>
      </bottom>
      <diagonal/>
    </border>
    <border>
      <left/>
      <right style="hair">
        <color indexed="64"/>
      </right>
      <top style="double">
        <color indexed="64"/>
      </top>
      <bottom style="hair">
        <color indexed="64"/>
      </bottom>
      <diagonal/>
    </border>
  </borders>
  <cellStyleXfs count="9">
    <xf numFmtId="0" fontId="0" fillId="0" borderId="0"/>
    <xf numFmtId="9" fontId="1" fillId="0" borderId="0" applyFont="0" applyFill="0" applyBorder="0" applyAlignment="0" applyProtection="0"/>
    <xf numFmtId="0" fontId="10" fillId="0" borderId="0"/>
    <xf numFmtId="44" fontId="10" fillId="0" borderId="0" applyFont="0" applyFill="0" applyBorder="0" applyAlignment="0" applyProtection="0"/>
    <xf numFmtId="0" fontId="20" fillId="0" borderId="0" applyNumberFormat="0" applyFill="0" applyBorder="0" applyAlignment="0" applyProtection="0">
      <alignment vertical="top"/>
      <protection locked="0"/>
    </xf>
    <xf numFmtId="9" fontId="10" fillId="0" borderId="0" applyFont="0" applyFill="0" applyBorder="0" applyAlignment="0" applyProtection="0"/>
    <xf numFmtId="43" fontId="1" fillId="0" borderId="0" applyFont="0" applyFill="0" applyBorder="0" applyAlignment="0" applyProtection="0"/>
    <xf numFmtId="0" fontId="30" fillId="0" borderId="0" applyNumberFormat="0" applyFill="0" applyBorder="0" applyAlignment="0" applyProtection="0">
      <alignment vertical="top"/>
      <protection locked="0"/>
    </xf>
    <xf numFmtId="44" fontId="1" fillId="0" borderId="0" applyFont="0" applyFill="0" applyBorder="0" applyAlignment="0" applyProtection="0"/>
  </cellStyleXfs>
  <cellXfs count="539">
    <xf numFmtId="0" fontId="0" fillId="0" borderId="0" xfId="0"/>
    <xf numFmtId="0" fontId="0" fillId="0" borderId="0" xfId="0" applyAlignment="1">
      <alignment horizontal="center" vertical="center"/>
    </xf>
    <xf numFmtId="0" fontId="0" fillId="0" borderId="0" xfId="0" applyAlignment="1">
      <alignment horizontal="center"/>
    </xf>
    <xf numFmtId="0" fontId="2" fillId="0" borderId="0" xfId="0" applyFont="1"/>
    <xf numFmtId="0" fontId="0" fillId="0" borderId="0" xfId="0" applyAlignment="1">
      <alignment vertical="center"/>
    </xf>
    <xf numFmtId="0" fontId="0" fillId="2" borderId="2" xfId="0" applyFill="1" applyBorder="1"/>
    <xf numFmtId="0" fontId="0" fillId="2" borderId="0" xfId="0" applyFill="1"/>
    <xf numFmtId="0" fontId="0" fillId="4" borderId="0" xfId="0" applyFill="1"/>
    <xf numFmtId="0" fontId="0" fillId="4" borderId="3" xfId="0" applyFill="1" applyBorder="1"/>
    <xf numFmtId="0" fontId="0" fillId="5" borderId="5" xfId="0" applyFill="1" applyBorder="1"/>
    <xf numFmtId="0" fontId="2" fillId="0" borderId="5" xfId="0" applyFont="1" applyBorder="1"/>
    <xf numFmtId="0" fontId="0" fillId="0" borderId="5" xfId="0" applyBorder="1"/>
    <xf numFmtId="0" fontId="0" fillId="2" borderId="6" xfId="0" applyFill="1" applyBorder="1"/>
    <xf numFmtId="0" fontId="3" fillId="2" borderId="5" xfId="0" applyFont="1" applyFill="1" applyBorder="1"/>
    <xf numFmtId="0" fontId="0" fillId="2" borderId="5" xfId="0" applyFill="1" applyBorder="1"/>
    <xf numFmtId="0" fontId="0" fillId="4" borderId="5" xfId="0" applyFill="1" applyBorder="1"/>
    <xf numFmtId="0" fontId="0" fillId="4" borderId="7" xfId="0" applyFill="1" applyBorder="1"/>
    <xf numFmtId="0" fontId="0" fillId="0" borderId="5" xfId="0" applyBorder="1" applyAlignment="1">
      <alignment horizontal="center"/>
    </xf>
    <xf numFmtId="0" fontId="0" fillId="6" borderId="5" xfId="0" applyFill="1" applyBorder="1"/>
    <xf numFmtId="0" fontId="0" fillId="6" borderId="3" xfId="0" applyFill="1" applyBorder="1"/>
    <xf numFmtId="0" fontId="0" fillId="6" borderId="7" xfId="0" applyFill="1" applyBorder="1"/>
    <xf numFmtId="0" fontId="2" fillId="6" borderId="7" xfId="0" applyFont="1" applyFill="1" applyBorder="1" applyAlignment="1">
      <alignment horizontal="center"/>
    </xf>
    <xf numFmtId="0" fontId="0" fillId="6" borderId="4" xfId="0" applyFill="1" applyBorder="1"/>
    <xf numFmtId="0" fontId="0" fillId="6" borderId="8" xfId="0" applyFill="1" applyBorder="1"/>
    <xf numFmtId="167" fontId="0" fillId="3" borderId="0" xfId="0" applyNumberFormat="1" applyFill="1" applyAlignment="1">
      <alignment horizontal="left"/>
    </xf>
    <xf numFmtId="167" fontId="0" fillId="5" borderId="5" xfId="0" applyNumberFormat="1" applyFill="1" applyBorder="1" applyAlignment="1">
      <alignment horizontal="center"/>
    </xf>
    <xf numFmtId="167" fontId="0" fillId="3" borderId="5" xfId="0" applyNumberFormat="1" applyFill="1" applyBorder="1" applyAlignment="1">
      <alignment horizontal="center"/>
    </xf>
    <xf numFmtId="167" fontId="0" fillId="3" borderId="0" xfId="0" applyNumberFormat="1" applyFill="1" applyAlignment="1">
      <alignment horizontal="center"/>
    </xf>
    <xf numFmtId="9" fontId="0" fillId="3" borderId="0" xfId="1" applyFont="1" applyFill="1" applyBorder="1" applyAlignment="1">
      <alignment horizontal="left"/>
    </xf>
    <xf numFmtId="9" fontId="0" fillId="5" borderId="5" xfId="1" applyFont="1" applyFill="1" applyBorder="1" applyAlignment="1">
      <alignment horizontal="center"/>
    </xf>
    <xf numFmtId="9" fontId="0" fillId="3" borderId="5" xfId="1" applyFont="1" applyFill="1" applyBorder="1" applyAlignment="1">
      <alignment horizontal="center"/>
    </xf>
    <xf numFmtId="9" fontId="0" fillId="3" borderId="0" xfId="1" applyFont="1" applyFill="1" applyBorder="1" applyAlignment="1">
      <alignment horizontal="center"/>
    </xf>
    <xf numFmtId="167" fontId="0" fillId="3" borderId="3" xfId="0" applyNumberFormat="1" applyFill="1" applyBorder="1" applyAlignment="1">
      <alignment horizontal="left"/>
    </xf>
    <xf numFmtId="167" fontId="0" fillId="3" borderId="7" xfId="0" applyNumberFormat="1" applyFill="1" applyBorder="1" applyAlignment="1">
      <alignment horizontal="center"/>
    </xf>
    <xf numFmtId="167" fontId="0" fillId="3" borderId="3" xfId="0" applyNumberFormat="1" applyFill="1" applyBorder="1" applyAlignment="1">
      <alignment horizontal="center"/>
    </xf>
    <xf numFmtId="167" fontId="0" fillId="3" borderId="2" xfId="0" applyNumberFormat="1" applyFill="1" applyBorder="1" applyAlignment="1">
      <alignment horizontal="left"/>
    </xf>
    <xf numFmtId="167" fontId="0" fillId="3" borderId="6" xfId="0" applyNumberFormat="1" applyFill="1" applyBorder="1" applyAlignment="1">
      <alignment horizontal="center"/>
    </xf>
    <xf numFmtId="167" fontId="0" fillId="3" borderId="2" xfId="0" applyNumberFormat="1" applyFill="1" applyBorder="1" applyAlignment="1">
      <alignment horizontal="center"/>
    </xf>
    <xf numFmtId="0" fontId="0" fillId="6" borderId="0" xfId="0" applyFill="1" applyAlignment="1">
      <alignment horizontal="center"/>
    </xf>
    <xf numFmtId="0" fontId="0" fillId="6" borderId="5" xfId="0" applyFill="1" applyBorder="1" applyAlignment="1">
      <alignment horizontal="center"/>
    </xf>
    <xf numFmtId="0" fontId="0" fillId="6" borderId="1" xfId="0" applyFill="1" applyBorder="1" applyAlignment="1">
      <alignment horizontal="center"/>
    </xf>
    <xf numFmtId="0" fontId="0" fillId="6" borderId="8" xfId="0" applyFill="1" applyBorder="1" applyAlignment="1">
      <alignment horizontal="center"/>
    </xf>
    <xf numFmtId="167" fontId="0" fillId="0" borderId="5" xfId="0" applyNumberFormat="1" applyBorder="1" applyAlignment="1">
      <alignment horizontal="center"/>
    </xf>
    <xf numFmtId="0" fontId="0" fillId="6" borderId="7" xfId="0" applyFill="1" applyBorder="1" applyAlignment="1">
      <alignment horizontal="center"/>
    </xf>
    <xf numFmtId="9" fontId="0" fillId="0" borderId="5" xfId="1" applyFont="1" applyBorder="1" applyAlignment="1">
      <alignment horizontal="center"/>
    </xf>
    <xf numFmtId="167" fontId="0" fillId="0" borderId="0" xfId="0" applyNumberFormat="1" applyAlignment="1">
      <alignment horizontal="center"/>
    </xf>
    <xf numFmtId="9" fontId="0" fillId="0" borderId="0" xfId="1" applyFont="1" applyAlignment="1">
      <alignment horizontal="center"/>
    </xf>
    <xf numFmtId="167" fontId="0" fillId="6" borderId="7" xfId="0" applyNumberFormat="1" applyFill="1" applyBorder="1" applyAlignment="1">
      <alignment horizontal="center"/>
    </xf>
    <xf numFmtId="0" fontId="0" fillId="0" borderId="0" xfId="0" applyAlignment="1">
      <alignment horizontal="right"/>
    </xf>
    <xf numFmtId="0" fontId="0" fillId="6" borderId="2" xfId="0" applyFill="1" applyBorder="1" applyAlignment="1">
      <alignment horizontal="center"/>
    </xf>
    <xf numFmtId="0" fontId="0" fillId="6" borderId="3" xfId="0" applyFill="1" applyBorder="1" applyAlignment="1">
      <alignment horizontal="center"/>
    </xf>
    <xf numFmtId="0" fontId="0" fillId="7" borderId="0" xfId="0" applyFill="1" applyAlignment="1">
      <alignment horizontal="center"/>
    </xf>
    <xf numFmtId="0" fontId="0" fillId="8" borderId="2" xfId="0" applyFill="1" applyBorder="1" applyAlignment="1">
      <alignment horizontal="center"/>
    </xf>
    <xf numFmtId="0" fontId="0" fillId="8" borderId="3" xfId="0" applyFill="1" applyBorder="1" applyAlignment="1">
      <alignment horizontal="center"/>
    </xf>
    <xf numFmtId="0" fontId="2" fillId="0" borderId="5" xfId="0" applyFont="1" applyBorder="1" applyAlignment="1">
      <alignment horizontal="center"/>
    </xf>
    <xf numFmtId="0" fontId="0" fillId="2" borderId="6" xfId="0" applyFill="1" applyBorder="1" applyAlignment="1">
      <alignment horizontal="center"/>
    </xf>
    <xf numFmtId="0" fontId="0" fillId="2" borderId="5"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164" fontId="0" fillId="2" borderId="5" xfId="0" applyNumberFormat="1" applyFill="1" applyBorder="1" applyAlignment="1" applyProtection="1">
      <alignment horizontal="center"/>
      <protection hidden="1"/>
    </xf>
    <xf numFmtId="0" fontId="5" fillId="0" borderId="0" xfId="0" applyFont="1"/>
    <xf numFmtId="167" fontId="0" fillId="0" borderId="18" xfId="0" applyNumberFormat="1" applyBorder="1" applyAlignment="1">
      <alignment horizontal="center"/>
    </xf>
    <xf numFmtId="167" fontId="0" fillId="0" borderId="19" xfId="0" applyNumberFormat="1" applyBorder="1" applyAlignment="1">
      <alignment horizontal="center"/>
    </xf>
    <xf numFmtId="9" fontId="0" fillId="0" borderId="19" xfId="1" applyFont="1" applyBorder="1" applyAlignment="1">
      <alignment horizontal="center"/>
    </xf>
    <xf numFmtId="167" fontId="0" fillId="0" borderId="20" xfId="0" applyNumberFormat="1" applyBorder="1" applyAlignment="1">
      <alignment horizontal="center"/>
    </xf>
    <xf numFmtId="9" fontId="0" fillId="0" borderId="19" xfId="1" applyFont="1" applyFill="1" applyBorder="1" applyAlignment="1">
      <alignment horizontal="center"/>
    </xf>
    <xf numFmtId="168" fontId="0" fillId="0" borderId="19" xfId="1" applyNumberFormat="1" applyFont="1" applyBorder="1" applyAlignment="1">
      <alignment horizontal="center"/>
    </xf>
    <xf numFmtId="167" fontId="0" fillId="0" borderId="21" xfId="0" applyNumberFormat="1" applyBorder="1" applyAlignment="1">
      <alignment horizontal="center"/>
    </xf>
    <xf numFmtId="167" fontId="0" fillId="0" borderId="22" xfId="0" applyNumberFormat="1" applyBorder="1" applyAlignment="1">
      <alignment horizontal="center"/>
    </xf>
    <xf numFmtId="9" fontId="0" fillId="0" borderId="22" xfId="1" applyFont="1" applyBorder="1" applyAlignment="1">
      <alignment horizontal="center"/>
    </xf>
    <xf numFmtId="167" fontId="0" fillId="0" borderId="23" xfId="0" applyNumberFormat="1" applyBorder="1" applyAlignment="1">
      <alignment horizontal="center"/>
    </xf>
    <xf numFmtId="167" fontId="0" fillId="0" borderId="15" xfId="0" applyNumberFormat="1" applyBorder="1" applyAlignment="1">
      <alignment horizontal="center"/>
    </xf>
    <xf numFmtId="167" fontId="0" fillId="0" borderId="16" xfId="0" applyNumberFormat="1" applyBorder="1" applyAlignment="1">
      <alignment horizontal="center"/>
    </xf>
    <xf numFmtId="9" fontId="0" fillId="0" borderId="16" xfId="1" applyFont="1" applyBorder="1" applyAlignment="1">
      <alignment horizontal="center"/>
    </xf>
    <xf numFmtId="167" fontId="0" fillId="0" borderId="17" xfId="0" applyNumberFormat="1" applyBorder="1" applyAlignment="1">
      <alignment horizontal="center"/>
    </xf>
    <xf numFmtId="167" fontId="0" fillId="0" borderId="2" xfId="0" applyNumberFormat="1" applyBorder="1"/>
    <xf numFmtId="0" fontId="4" fillId="9" borderId="25" xfId="0" applyFont="1" applyFill="1" applyBorder="1" applyAlignment="1">
      <alignment horizontal="center"/>
    </xf>
    <xf numFmtId="0" fontId="4" fillId="9" borderId="26" xfId="0" applyFont="1" applyFill="1" applyBorder="1" applyAlignment="1">
      <alignment horizontal="center"/>
    </xf>
    <xf numFmtId="0" fontId="4" fillId="9" borderId="26" xfId="0" applyFont="1" applyFill="1" applyBorder="1" applyAlignment="1">
      <alignment horizontal="left"/>
    </xf>
    <xf numFmtId="0" fontId="4" fillId="9" borderId="27" xfId="0" applyFont="1" applyFill="1" applyBorder="1" applyAlignment="1">
      <alignment horizontal="center"/>
    </xf>
    <xf numFmtId="0" fontId="4" fillId="9" borderId="15" xfId="0" applyFont="1" applyFill="1" applyBorder="1" applyAlignment="1">
      <alignment horizontal="center"/>
    </xf>
    <xf numFmtId="0" fontId="4" fillId="9" borderId="16" xfId="0" applyFont="1" applyFill="1" applyBorder="1" applyAlignment="1">
      <alignment horizontal="center"/>
    </xf>
    <xf numFmtId="0" fontId="4" fillId="9" borderId="16" xfId="0" applyFont="1" applyFill="1" applyBorder="1" applyAlignment="1">
      <alignment horizontal="left"/>
    </xf>
    <xf numFmtId="0" fontId="4" fillId="9" borderId="17" xfId="0" applyFont="1" applyFill="1" applyBorder="1" applyAlignment="1">
      <alignment horizontal="center"/>
    </xf>
    <xf numFmtId="0" fontId="0" fillId="0" borderId="9" xfId="0" applyBorder="1"/>
    <xf numFmtId="0" fontId="0" fillId="0" borderId="2" xfId="0" applyBorder="1" applyAlignment="1">
      <alignment horizontal="center"/>
    </xf>
    <xf numFmtId="0" fontId="0" fillId="0" borderId="11" xfId="0" applyBorder="1"/>
    <xf numFmtId="0" fontId="0" fillId="0" borderId="13" xfId="0" applyBorder="1"/>
    <xf numFmtId="0" fontId="0" fillId="0" borderId="3" xfId="0" applyBorder="1" applyAlignment="1">
      <alignment horizontal="center"/>
    </xf>
    <xf numFmtId="0" fontId="0" fillId="9" borderId="32" xfId="0" applyFill="1" applyBorder="1" applyAlignment="1">
      <alignment horizontal="center"/>
    </xf>
    <xf numFmtId="0" fontId="0" fillId="9" borderId="33" xfId="0" applyFill="1" applyBorder="1" applyAlignment="1">
      <alignment horizontal="center"/>
    </xf>
    <xf numFmtId="0" fontId="0" fillId="0" borderId="3" xfId="0" applyBorder="1"/>
    <xf numFmtId="0" fontId="0" fillId="9" borderId="31" xfId="0" applyFill="1" applyBorder="1" applyAlignment="1">
      <alignment horizontal="center"/>
    </xf>
    <xf numFmtId="0" fontId="0" fillId="9" borderId="43" xfId="0" applyFill="1" applyBorder="1" applyAlignment="1">
      <alignment horizontal="center"/>
    </xf>
    <xf numFmtId="0" fontId="0" fillId="9" borderId="35" xfId="0" applyFill="1" applyBorder="1" applyAlignment="1">
      <alignment horizontal="center"/>
    </xf>
    <xf numFmtId="0" fontId="0" fillId="9" borderId="37" xfId="0" applyFill="1" applyBorder="1" applyAlignment="1">
      <alignment horizontal="center"/>
    </xf>
    <xf numFmtId="0" fontId="4" fillId="9" borderId="51" xfId="0" applyFont="1" applyFill="1" applyBorder="1" applyAlignment="1">
      <alignment horizontal="center"/>
    </xf>
    <xf numFmtId="0" fontId="4" fillId="9" borderId="52" xfId="0" applyFont="1" applyFill="1" applyBorder="1" applyAlignment="1">
      <alignment horizontal="center"/>
    </xf>
    <xf numFmtId="0" fontId="4" fillId="9" borderId="53" xfId="0" applyFont="1" applyFill="1" applyBorder="1" applyAlignment="1">
      <alignment horizontal="center"/>
    </xf>
    <xf numFmtId="0" fontId="6" fillId="9" borderId="8" xfId="0" applyFont="1" applyFill="1" applyBorder="1" applyAlignment="1">
      <alignment horizontal="right" vertical="center" indent="1"/>
    </xf>
    <xf numFmtId="167" fontId="0" fillId="0" borderId="6" xfId="0" applyNumberFormat="1" applyBorder="1" applyAlignment="1">
      <alignment horizontal="center"/>
    </xf>
    <xf numFmtId="9" fontId="0" fillId="0" borderId="6" xfId="1" applyFont="1" applyFill="1" applyBorder="1" applyAlignment="1">
      <alignment horizontal="center"/>
    </xf>
    <xf numFmtId="9" fontId="0" fillId="0" borderId="5" xfId="1" applyFont="1" applyFill="1" applyBorder="1" applyAlignment="1">
      <alignment horizontal="center"/>
    </xf>
    <xf numFmtId="0" fontId="9" fillId="0" borderId="0" xfId="0" applyFont="1" applyAlignment="1">
      <alignment horizontal="center"/>
    </xf>
    <xf numFmtId="167" fontId="0" fillId="0" borderId="40" xfId="0" applyNumberFormat="1" applyBorder="1" applyAlignment="1" applyProtection="1">
      <alignment horizontal="center"/>
      <protection locked="0"/>
    </xf>
    <xf numFmtId="167" fontId="0" fillId="0" borderId="16" xfId="0" applyNumberFormat="1" applyBorder="1" applyAlignment="1" applyProtection="1">
      <alignment horizontal="center"/>
      <protection locked="0"/>
    </xf>
    <xf numFmtId="9" fontId="0" fillId="0" borderId="16" xfId="1" applyFont="1" applyBorder="1" applyAlignment="1" applyProtection="1">
      <alignment horizontal="center"/>
      <protection locked="0"/>
    </xf>
    <xf numFmtId="167" fontId="0" fillId="0" borderId="17" xfId="0" applyNumberFormat="1" applyBorder="1" applyAlignment="1" applyProtection="1">
      <alignment horizontal="center"/>
      <protection locked="0"/>
    </xf>
    <xf numFmtId="167" fontId="0" fillId="0" borderId="41" xfId="0" applyNumberFormat="1" applyBorder="1" applyAlignment="1" applyProtection="1">
      <alignment horizontal="center"/>
      <protection locked="0"/>
    </xf>
    <xf numFmtId="167" fontId="0" fillId="0" borderId="19" xfId="0" applyNumberFormat="1" applyBorder="1" applyAlignment="1" applyProtection="1">
      <alignment horizontal="center"/>
      <protection locked="0"/>
    </xf>
    <xf numFmtId="9" fontId="0" fillId="0" borderId="19" xfId="1" applyFont="1" applyBorder="1" applyAlignment="1" applyProtection="1">
      <alignment horizontal="center"/>
      <protection locked="0"/>
    </xf>
    <xf numFmtId="167" fontId="0" fillId="0" borderId="20" xfId="0" applyNumberFormat="1" applyBorder="1" applyAlignment="1" applyProtection="1">
      <alignment horizontal="center"/>
      <protection locked="0"/>
    </xf>
    <xf numFmtId="167" fontId="0" fillId="0" borderId="42" xfId="0" applyNumberFormat="1" applyBorder="1" applyAlignment="1" applyProtection="1">
      <alignment horizontal="center"/>
      <protection locked="0"/>
    </xf>
    <xf numFmtId="167" fontId="0" fillId="0" borderId="22" xfId="0" applyNumberFormat="1" applyBorder="1" applyAlignment="1" applyProtection="1">
      <alignment horizontal="center"/>
      <protection locked="0"/>
    </xf>
    <xf numFmtId="9" fontId="0" fillId="0" borderId="22" xfId="1" applyFont="1" applyBorder="1" applyAlignment="1" applyProtection="1">
      <alignment horizontal="center"/>
      <protection locked="0"/>
    </xf>
    <xf numFmtId="167" fontId="0" fillId="0" borderId="23" xfId="0" applyNumberFormat="1" applyBorder="1" applyAlignment="1" applyProtection="1">
      <alignment horizontal="center"/>
      <protection locked="0"/>
    </xf>
    <xf numFmtId="167" fontId="0" fillId="0" borderId="46" xfId="0" applyNumberFormat="1" applyBorder="1" applyAlignment="1" applyProtection="1">
      <alignment horizontal="center"/>
      <protection locked="0"/>
    </xf>
    <xf numFmtId="167" fontId="0" fillId="0" borderId="30" xfId="0" applyNumberFormat="1" applyBorder="1" applyAlignment="1" applyProtection="1">
      <alignment horizontal="center"/>
      <protection locked="0"/>
    </xf>
    <xf numFmtId="167" fontId="0" fillId="0" borderId="35" xfId="0" applyNumberFormat="1" applyBorder="1" applyAlignment="1" applyProtection="1">
      <alignment horizontal="center"/>
      <protection locked="0"/>
    </xf>
    <xf numFmtId="167" fontId="0" fillId="0" borderId="29" xfId="0" applyNumberFormat="1" applyBorder="1" applyAlignment="1" applyProtection="1">
      <alignment horizontal="center"/>
      <protection locked="0"/>
    </xf>
    <xf numFmtId="167" fontId="0" fillId="0" borderId="37" xfId="0" applyNumberFormat="1" applyBorder="1" applyAlignment="1" applyProtection="1">
      <alignment horizontal="center"/>
      <protection locked="0"/>
    </xf>
    <xf numFmtId="167" fontId="0" fillId="0" borderId="38" xfId="0" applyNumberFormat="1" applyBorder="1" applyAlignment="1" applyProtection="1">
      <alignment horizontal="center"/>
      <protection locked="0"/>
    </xf>
    <xf numFmtId="167" fontId="0" fillId="0" borderId="44" xfId="1" applyNumberFormat="1" applyFont="1" applyBorder="1" applyAlignment="1" applyProtection="1">
      <alignment horizontal="center"/>
      <protection locked="0"/>
    </xf>
    <xf numFmtId="167" fontId="0" fillId="0" borderId="44" xfId="0" applyNumberFormat="1" applyBorder="1" applyAlignment="1" applyProtection="1">
      <alignment horizontal="center"/>
      <protection locked="0"/>
    </xf>
    <xf numFmtId="167" fontId="0" fillId="0" borderId="45" xfId="0" applyNumberFormat="1" applyBorder="1" applyProtection="1">
      <protection locked="0"/>
    </xf>
    <xf numFmtId="167" fontId="0" fillId="0" borderId="36" xfId="0" applyNumberFormat="1" applyBorder="1" applyProtection="1">
      <protection locked="0"/>
    </xf>
    <xf numFmtId="0" fontId="0" fillId="0" borderId="0" xfId="0"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2" xfId="0" applyBorder="1" applyAlignment="1" applyProtection="1">
      <alignment horizontal="center"/>
      <protection locked="0"/>
    </xf>
    <xf numFmtId="0" fontId="0" fillId="9" borderId="31" xfId="0" applyFill="1" applyBorder="1" applyAlignment="1" applyProtection="1">
      <alignment horizontal="center" vertical="center"/>
      <protection locked="0"/>
    </xf>
    <xf numFmtId="0" fontId="0" fillId="9" borderId="32" xfId="0" applyFill="1" applyBorder="1" applyAlignment="1" applyProtection="1">
      <alignment horizontal="center"/>
      <protection locked="0"/>
    </xf>
    <xf numFmtId="0" fontId="0" fillId="9" borderId="33" xfId="0" applyFill="1" applyBorder="1" applyAlignment="1" applyProtection="1">
      <alignment horizontal="center"/>
      <protection locked="0"/>
    </xf>
    <xf numFmtId="0" fontId="10" fillId="0" borderId="0" xfId="2"/>
    <xf numFmtId="0" fontId="12" fillId="0" borderId="59" xfId="2" applyFont="1" applyBorder="1" applyAlignment="1">
      <alignment horizontal="center"/>
    </xf>
    <xf numFmtId="172" fontId="12" fillId="0" borderId="60" xfId="2" applyNumberFormat="1" applyFont="1" applyBorder="1" applyAlignment="1">
      <alignment horizontal="center"/>
    </xf>
    <xf numFmtId="0" fontId="12" fillId="0" borderId="60" xfId="2" applyFont="1" applyBorder="1" applyAlignment="1">
      <alignment horizontal="center"/>
    </xf>
    <xf numFmtId="0" fontId="12" fillId="0" borderId="61" xfId="2" applyFont="1" applyBorder="1" applyAlignment="1">
      <alignment horizontal="center"/>
    </xf>
    <xf numFmtId="0" fontId="10" fillId="0" borderId="0" xfId="2" applyAlignment="1">
      <alignment horizontal="center"/>
    </xf>
    <xf numFmtId="0" fontId="10" fillId="0" borderId="59" xfId="2" applyBorder="1" applyAlignment="1">
      <alignment horizontal="center"/>
    </xf>
    <xf numFmtId="167" fontId="10" fillId="0" borderId="60" xfId="2" applyNumberFormat="1" applyBorder="1" applyAlignment="1">
      <alignment horizontal="center"/>
    </xf>
    <xf numFmtId="167" fontId="10" fillId="0" borderId="61" xfId="2" applyNumberFormat="1" applyBorder="1" applyAlignment="1">
      <alignment horizontal="center"/>
    </xf>
    <xf numFmtId="0" fontId="10" fillId="0" borderId="62" xfId="2" applyBorder="1" applyAlignment="1">
      <alignment horizontal="center"/>
    </xf>
    <xf numFmtId="167" fontId="10" fillId="0" borderId="63" xfId="2" applyNumberFormat="1" applyBorder="1" applyAlignment="1">
      <alignment horizontal="center"/>
    </xf>
    <xf numFmtId="167" fontId="10" fillId="0" borderId="64" xfId="2" applyNumberFormat="1" applyBorder="1" applyAlignment="1">
      <alignment horizontal="center"/>
    </xf>
    <xf numFmtId="0" fontId="15" fillId="0" borderId="59" xfId="2" applyFont="1" applyBorder="1" applyAlignment="1">
      <alignment horizontal="center"/>
    </xf>
    <xf numFmtId="0" fontId="15" fillId="0" borderId="60" xfId="2" applyFont="1" applyBorder="1" applyAlignment="1">
      <alignment horizontal="center"/>
    </xf>
    <xf numFmtId="0" fontId="15" fillId="0" borderId="61" xfId="2" applyFont="1" applyBorder="1" applyAlignment="1">
      <alignment horizontal="center"/>
    </xf>
    <xf numFmtId="0" fontId="10" fillId="0" borderId="59" xfId="2" applyBorder="1" applyAlignment="1" applyProtection="1">
      <alignment horizontal="center"/>
      <protection locked="0"/>
    </xf>
    <xf numFmtId="0" fontId="10" fillId="0" borderId="61" xfId="2" applyBorder="1" applyAlignment="1">
      <alignment horizontal="center"/>
    </xf>
    <xf numFmtId="0" fontId="10" fillId="0" borderId="62" xfId="2" applyBorder="1" applyAlignment="1" applyProtection="1">
      <alignment horizontal="center"/>
      <protection locked="0"/>
    </xf>
    <xf numFmtId="0" fontId="10" fillId="0" borderId="64" xfId="2" applyBorder="1" applyAlignment="1">
      <alignment horizontal="center"/>
    </xf>
    <xf numFmtId="0" fontId="10" fillId="0" borderId="0" xfId="2" applyAlignment="1">
      <alignment horizontal="left"/>
    </xf>
    <xf numFmtId="0" fontId="21" fillId="0" borderId="0" xfId="2" applyFont="1"/>
    <xf numFmtId="0" fontId="21" fillId="0" borderId="0" xfId="2" applyFont="1" applyAlignment="1">
      <alignment horizontal="center"/>
    </xf>
    <xf numFmtId="0" fontId="23" fillId="0" borderId="0" xfId="2" applyFont="1"/>
    <xf numFmtId="0" fontId="23" fillId="0" borderId="0" xfId="2" applyFont="1" applyAlignment="1">
      <alignment horizontal="center"/>
    </xf>
    <xf numFmtId="0" fontId="23" fillId="0" borderId="68" xfId="2" applyFont="1" applyBorder="1"/>
    <xf numFmtId="0" fontId="23" fillId="0" borderId="68" xfId="2" applyFont="1" applyBorder="1" applyAlignment="1">
      <alignment horizontal="center"/>
    </xf>
    <xf numFmtId="0" fontId="23" fillId="0" borderId="0" xfId="2" applyFont="1" applyAlignment="1">
      <alignment horizontal="right"/>
    </xf>
    <xf numFmtId="0" fontId="23" fillId="0" borderId="0" xfId="2" applyFont="1" applyAlignment="1">
      <alignment horizontal="center" vertical="center"/>
    </xf>
    <xf numFmtId="0" fontId="21" fillId="0" borderId="0" xfId="2" applyFont="1" applyAlignment="1">
      <alignment horizontal="center" vertical="center"/>
    </xf>
    <xf numFmtId="0" fontId="22" fillId="0" borderId="0" xfId="2" applyFont="1"/>
    <xf numFmtId="0" fontId="22" fillId="0" borderId="0" xfId="2" applyFont="1" applyAlignment="1">
      <alignment horizontal="right"/>
    </xf>
    <xf numFmtId="0" fontId="22" fillId="0" borderId="68" xfId="2" applyFont="1" applyBorder="1"/>
    <xf numFmtId="9" fontId="0" fillId="0" borderId="39" xfId="1" applyFont="1" applyBorder="1" applyProtection="1">
      <protection locked="0"/>
    </xf>
    <xf numFmtId="9" fontId="0" fillId="0" borderId="38" xfId="1" applyFont="1" applyBorder="1" applyAlignment="1" applyProtection="1">
      <alignment horizontal="center"/>
      <protection locked="0"/>
    </xf>
    <xf numFmtId="0" fontId="10" fillId="0" borderId="0" xfId="2" applyAlignment="1">
      <alignment horizontal="center" vertical="center"/>
    </xf>
    <xf numFmtId="14" fontId="23" fillId="0" borderId="0" xfId="2" applyNumberFormat="1" applyFont="1" applyAlignment="1">
      <alignment horizontal="left" indent="1"/>
    </xf>
    <xf numFmtId="174" fontId="7" fillId="9" borderId="34" xfId="6" applyNumberFormat="1" applyFont="1" applyFill="1" applyBorder="1" applyAlignment="1" applyProtection="1">
      <alignment horizontal="center" vertical="center"/>
      <protection locked="0"/>
    </xf>
    <xf numFmtId="174" fontId="7" fillId="9" borderId="35" xfId="6" applyNumberFormat="1" applyFont="1" applyFill="1" applyBorder="1" applyAlignment="1" applyProtection="1">
      <alignment horizontal="center" vertical="center"/>
      <protection locked="0"/>
    </xf>
    <xf numFmtId="174" fontId="7" fillId="9" borderId="37" xfId="6" applyNumberFormat="1" applyFont="1" applyFill="1" applyBorder="1" applyAlignment="1" applyProtection="1">
      <alignment horizontal="center" vertical="center"/>
      <protection locked="0"/>
    </xf>
    <xf numFmtId="0" fontId="30" fillId="0" borderId="0" xfId="7" applyAlignment="1" applyProtection="1"/>
    <xf numFmtId="165" fontId="8" fillId="0" borderId="109" xfId="0" applyNumberFormat="1" applyFont="1" applyBorder="1" applyAlignment="1" applyProtection="1">
      <alignment horizontal="left" vertical="center"/>
      <protection locked="0"/>
    </xf>
    <xf numFmtId="166" fontId="8" fillId="0" borderId="76" xfId="0" applyNumberFormat="1" applyFont="1" applyBorder="1" applyAlignment="1" applyProtection="1">
      <alignment horizontal="left" vertical="center"/>
      <protection locked="0"/>
    </xf>
    <xf numFmtId="169" fontId="8" fillId="0" borderId="76" xfId="0" applyNumberFormat="1" applyFont="1" applyBorder="1" applyAlignment="1" applyProtection="1">
      <alignment horizontal="left" vertical="center"/>
      <protection locked="0"/>
    </xf>
    <xf numFmtId="171" fontId="0" fillId="0" borderId="109" xfId="0" applyNumberFormat="1" applyBorder="1" applyAlignment="1" applyProtection="1">
      <alignment horizontal="left" vertical="center"/>
      <protection locked="0"/>
    </xf>
    <xf numFmtId="0" fontId="22" fillId="0" borderId="0" xfId="2" applyFont="1" applyAlignment="1">
      <alignment horizontal="left" indent="1"/>
    </xf>
    <xf numFmtId="0" fontId="10" fillId="0" borderId="68" xfId="2" applyBorder="1" applyAlignment="1">
      <alignment wrapText="1"/>
    </xf>
    <xf numFmtId="0" fontId="2" fillId="9" borderId="49" xfId="0" applyFont="1" applyFill="1" applyBorder="1" applyAlignment="1">
      <alignment vertical="center"/>
    </xf>
    <xf numFmtId="0" fontId="2" fillId="9" borderId="50" xfId="0" applyFont="1" applyFill="1" applyBorder="1" applyAlignment="1">
      <alignment vertical="center"/>
    </xf>
    <xf numFmtId="0" fontId="2" fillId="9" borderId="1" xfId="0" applyFont="1" applyFill="1" applyBorder="1"/>
    <xf numFmtId="0" fontId="2" fillId="9" borderId="14" xfId="0" applyFont="1" applyFill="1" applyBorder="1"/>
    <xf numFmtId="0" fontId="0" fillId="8" borderId="3" xfId="0" applyFill="1" applyBorder="1" applyAlignment="1">
      <alignment horizontal="center" vertical="center"/>
    </xf>
    <xf numFmtId="0" fontId="22" fillId="0" borderId="0" xfId="2" applyFont="1" applyAlignment="1">
      <alignment wrapText="1"/>
    </xf>
    <xf numFmtId="0" fontId="19" fillId="0" borderId="115" xfId="2" applyFont="1" applyBorder="1" applyAlignment="1" applyProtection="1">
      <alignment horizontal="left" vertical="center" indent="1"/>
      <protection locked="0"/>
    </xf>
    <xf numFmtId="0" fontId="19" fillId="0" borderId="111" xfId="2" applyFont="1" applyBorder="1" applyAlignment="1" applyProtection="1">
      <alignment horizontal="left" vertical="center" indent="1"/>
      <protection locked="0"/>
    </xf>
    <xf numFmtId="0" fontId="0" fillId="8" borderId="0" xfId="0" applyFill="1" applyAlignment="1">
      <alignment horizontal="center"/>
    </xf>
    <xf numFmtId="0" fontId="0" fillId="9" borderId="1" xfId="0" applyFill="1" applyBorder="1" applyAlignment="1">
      <alignment horizontal="center" vertical="center"/>
    </xf>
    <xf numFmtId="0" fontId="0" fillId="9" borderId="1" xfId="0" applyFill="1" applyBorder="1" applyAlignment="1">
      <alignment horizontal="center"/>
    </xf>
    <xf numFmtId="9" fontId="0" fillId="9" borderId="1" xfId="1" applyFont="1" applyFill="1" applyBorder="1" applyAlignment="1">
      <alignment horizontal="center"/>
    </xf>
    <xf numFmtId="10" fontId="0" fillId="3" borderId="5" xfId="1" applyNumberFormat="1" applyFont="1" applyFill="1" applyBorder="1" applyAlignment="1">
      <alignment horizontal="center"/>
    </xf>
    <xf numFmtId="10" fontId="0" fillId="0" borderId="19" xfId="1" applyNumberFormat="1" applyFont="1" applyBorder="1" applyAlignment="1">
      <alignment horizontal="center"/>
    </xf>
    <xf numFmtId="9" fontId="6" fillId="9" borderId="1" xfId="1" applyFont="1" applyFill="1" applyBorder="1" applyAlignment="1">
      <alignment horizontal="center"/>
    </xf>
    <xf numFmtId="0" fontId="10" fillId="2" borderId="113" xfId="2" applyFill="1" applyBorder="1" applyAlignment="1">
      <alignment horizontal="center" vertical="center"/>
    </xf>
    <xf numFmtId="0" fontId="34" fillId="13" borderId="73" xfId="2" applyFont="1" applyFill="1" applyBorder="1" applyAlignment="1">
      <alignment vertical="center"/>
    </xf>
    <xf numFmtId="0" fontId="34" fillId="13" borderId="119" xfId="2" applyFont="1" applyFill="1" applyBorder="1" applyAlignment="1">
      <alignment vertical="center"/>
    </xf>
    <xf numFmtId="0" fontId="34" fillId="13" borderId="74" xfId="2" applyFont="1" applyFill="1" applyBorder="1" applyAlignment="1">
      <alignment vertical="center"/>
    </xf>
    <xf numFmtId="0" fontId="10" fillId="13" borderId="119" xfId="2" applyFill="1" applyBorder="1" applyAlignment="1">
      <alignment vertical="center"/>
    </xf>
    <xf numFmtId="0" fontId="35" fillId="13" borderId="69" xfId="2" applyFont="1" applyFill="1" applyBorder="1" applyAlignment="1">
      <alignment horizontal="center" vertical="center"/>
    </xf>
    <xf numFmtId="0" fontId="35" fillId="13" borderId="0" xfId="2" applyFont="1" applyFill="1" applyAlignment="1">
      <alignment horizontal="center" vertical="center"/>
    </xf>
    <xf numFmtId="0" fontId="35" fillId="13" borderId="70" xfId="2" applyFont="1" applyFill="1" applyBorder="1" applyAlignment="1">
      <alignment horizontal="center" vertical="center"/>
    </xf>
    <xf numFmtId="0" fontId="10" fillId="13" borderId="0" xfId="2" applyFill="1" applyAlignment="1">
      <alignment horizontal="left" vertical="center"/>
    </xf>
    <xf numFmtId="49" fontId="10" fillId="13" borderId="69" xfId="2" applyNumberFormat="1" applyFill="1" applyBorder="1" applyAlignment="1">
      <alignment horizontal="center" vertical="center"/>
    </xf>
    <xf numFmtId="0" fontId="10" fillId="13" borderId="0" xfId="2" applyFill="1" applyAlignment="1">
      <alignment horizontal="center" vertical="center"/>
    </xf>
    <xf numFmtId="0" fontId="10" fillId="13" borderId="70" xfId="2" applyFill="1" applyBorder="1" applyAlignment="1">
      <alignment horizontal="center" vertical="center"/>
    </xf>
    <xf numFmtId="0" fontId="34" fillId="13" borderId="0" xfId="2" applyFont="1" applyFill="1" applyAlignment="1">
      <alignment vertical="center"/>
    </xf>
    <xf numFmtId="0" fontId="34" fillId="13" borderId="70" xfId="2" applyFont="1" applyFill="1" applyBorder="1" applyAlignment="1">
      <alignment vertical="center"/>
    </xf>
    <xf numFmtId="49" fontId="10" fillId="13" borderId="69" xfId="2" applyNumberFormat="1" applyFill="1" applyBorder="1"/>
    <xf numFmtId="0" fontId="18" fillId="0" borderId="0" xfId="2" applyFont="1" applyAlignment="1">
      <alignment horizontal="center" vertical="center"/>
    </xf>
    <xf numFmtId="0" fontId="10" fillId="13" borderId="69" xfId="2" applyFill="1" applyBorder="1"/>
    <xf numFmtId="0" fontId="34" fillId="13" borderId="69" xfId="2" applyFont="1" applyFill="1" applyBorder="1" applyAlignment="1">
      <alignment vertical="center"/>
    </xf>
    <xf numFmtId="0" fontId="10" fillId="13" borderId="69" xfId="2" applyFill="1" applyBorder="1" applyAlignment="1">
      <alignment horizontal="right" vertical="center"/>
    </xf>
    <xf numFmtId="0" fontId="18" fillId="13" borderId="70" xfId="2" applyFont="1" applyFill="1" applyBorder="1" applyAlignment="1">
      <alignment horizontal="center" vertical="center"/>
    </xf>
    <xf numFmtId="0" fontId="10" fillId="13" borderId="0" xfId="2" quotePrefix="1" applyFill="1" applyAlignment="1">
      <alignment horizontal="center" vertical="center"/>
    </xf>
    <xf numFmtId="0" fontId="10" fillId="13" borderId="70" xfId="2" quotePrefix="1" applyFill="1" applyBorder="1" applyAlignment="1">
      <alignment horizontal="center" vertical="center"/>
    </xf>
    <xf numFmtId="0" fontId="10" fillId="13" borderId="68" xfId="2" applyFill="1" applyBorder="1" applyAlignment="1">
      <alignment horizontal="center" vertical="center"/>
    </xf>
    <xf numFmtId="0" fontId="10" fillId="13" borderId="72" xfId="2" applyFill="1" applyBorder="1" applyAlignment="1">
      <alignment horizontal="center" vertical="center"/>
    </xf>
    <xf numFmtId="0" fontId="10" fillId="0" borderId="63" xfId="2" applyBorder="1" applyAlignment="1" applyProtection="1">
      <alignment horizontal="center"/>
      <protection locked="0"/>
    </xf>
    <xf numFmtId="44" fontId="14" fillId="0" borderId="0" xfId="8" applyFont="1" applyAlignment="1"/>
    <xf numFmtId="44" fontId="16" fillId="0" borderId="0" xfId="8" applyFont="1" applyBorder="1" applyAlignment="1"/>
    <xf numFmtId="44" fontId="10" fillId="0" borderId="0" xfId="8" applyFont="1"/>
    <xf numFmtId="0" fontId="13" fillId="0" borderId="0" xfId="2" applyFont="1"/>
    <xf numFmtId="0" fontId="10" fillId="0" borderId="60" xfId="2" applyBorder="1" applyAlignment="1" applyProtection="1">
      <alignment horizontal="center"/>
      <protection locked="0"/>
    </xf>
    <xf numFmtId="44" fontId="16" fillId="0" borderId="0" xfId="8" applyFont="1" applyAlignment="1">
      <alignment horizontal="center"/>
    </xf>
    <xf numFmtId="0" fontId="16" fillId="0" borderId="0" xfId="2" applyFont="1" applyAlignment="1">
      <alignment horizontal="right"/>
    </xf>
    <xf numFmtId="176" fontId="14" fillId="0" borderId="0" xfId="8" applyNumberFormat="1" applyFont="1" applyAlignment="1"/>
    <xf numFmtId="0" fontId="0" fillId="0" borderId="24" xfId="0" applyBorder="1" applyAlignment="1" applyProtection="1">
      <alignment horizontal="center" vertical="center"/>
      <protection locked="0"/>
    </xf>
    <xf numFmtId="0" fontId="0" fillId="0" borderId="55" xfId="0" applyBorder="1" applyAlignment="1" applyProtection="1">
      <alignment horizontal="center" vertical="center"/>
      <protection locked="0"/>
    </xf>
    <xf numFmtId="0" fontId="0" fillId="0" borderId="0" xfId="0" applyAlignment="1" applyProtection="1">
      <alignment horizontal="center"/>
      <protection locked="0"/>
    </xf>
    <xf numFmtId="0" fontId="8" fillId="0" borderId="0" xfId="0" applyFont="1" applyAlignment="1">
      <alignment horizontal="left" vertical="center"/>
    </xf>
    <xf numFmtId="166" fontId="8" fillId="0" borderId="0" xfId="0" applyNumberFormat="1" applyFont="1" applyAlignment="1">
      <alignment horizontal="left" vertical="center"/>
    </xf>
    <xf numFmtId="0" fontId="0" fillId="0" borderId="3" xfId="0" applyBorder="1" applyAlignment="1">
      <alignment horizontal="left" vertical="center"/>
    </xf>
    <xf numFmtId="0" fontId="11" fillId="0" borderId="118" xfId="2" applyFont="1" applyBorder="1" applyAlignment="1">
      <alignment horizontal="right" vertical="center"/>
    </xf>
    <xf numFmtId="0" fontId="19" fillId="2" borderId="0" xfId="2" applyFont="1" applyFill="1" applyAlignment="1">
      <alignment vertical="center"/>
    </xf>
    <xf numFmtId="0" fontId="11" fillId="0" borderId="116" xfId="2" applyFont="1" applyBorder="1" applyAlignment="1">
      <alignment horizontal="right" vertical="center"/>
    </xf>
    <xf numFmtId="0" fontId="11" fillId="0" borderId="110" xfId="2" applyFont="1" applyBorder="1" applyAlignment="1">
      <alignment horizontal="right" vertical="center"/>
    </xf>
    <xf numFmtId="0" fontId="11" fillId="0" borderId="77" xfId="2" applyFont="1" applyBorder="1" applyAlignment="1">
      <alignment horizontal="right" vertical="center"/>
    </xf>
    <xf numFmtId="14" fontId="11" fillId="0" borderId="110" xfId="2" applyNumberFormat="1" applyFont="1" applyBorder="1" applyAlignment="1">
      <alignment horizontal="right" vertical="center"/>
    </xf>
    <xf numFmtId="0" fontId="11" fillId="2" borderId="76" xfId="2" applyFont="1" applyFill="1" applyBorder="1" applyAlignment="1">
      <alignment horizontal="right" vertical="center"/>
    </xf>
    <xf numFmtId="0" fontId="19" fillId="2" borderId="76" xfId="2" applyFont="1" applyFill="1" applyBorder="1" applyAlignment="1">
      <alignment vertical="center"/>
    </xf>
    <xf numFmtId="0" fontId="11" fillId="2" borderId="69" xfId="2" applyFont="1" applyFill="1" applyBorder="1" applyAlignment="1">
      <alignment horizontal="right" vertical="center"/>
    </xf>
    <xf numFmtId="0" fontId="19" fillId="2" borderId="0" xfId="2" applyFont="1" applyFill="1" applyAlignment="1">
      <alignment horizontal="center" vertical="center"/>
    </xf>
    <xf numFmtId="0" fontId="19" fillId="2" borderId="111" xfId="2" applyFont="1" applyFill="1" applyBorder="1" applyAlignment="1">
      <alignment horizontal="left" vertical="center" indent="1"/>
    </xf>
    <xf numFmtId="0" fontId="11" fillId="2" borderId="71" xfId="2" applyFont="1" applyFill="1" applyBorder="1" applyAlignment="1">
      <alignment horizontal="right" vertical="center"/>
    </xf>
    <xf numFmtId="0" fontId="19" fillId="2" borderId="68" xfId="2" applyFont="1" applyFill="1" applyBorder="1" applyAlignment="1">
      <alignment vertical="center"/>
    </xf>
    <xf numFmtId="0" fontId="10" fillId="2" borderId="112" xfId="2" applyFill="1" applyBorder="1"/>
    <xf numFmtId="0" fontId="32" fillId="2" borderId="112" xfId="2" applyFont="1" applyFill="1" applyBorder="1" applyAlignment="1">
      <alignment horizontal="center" vertical="center"/>
    </xf>
    <xf numFmtId="0" fontId="10" fillId="2" borderId="112" xfId="2" applyFill="1" applyBorder="1" applyAlignment="1">
      <alignment horizontal="center" vertical="center"/>
    </xf>
    <xf numFmtId="0" fontId="11" fillId="0" borderId="0" xfId="2" applyFont="1" applyAlignment="1">
      <alignment horizontal="right" vertical="center"/>
    </xf>
    <xf numFmtId="0" fontId="19" fillId="0" borderId="0" xfId="2" applyFont="1" applyAlignment="1">
      <alignment vertical="center"/>
    </xf>
    <xf numFmtId="0" fontId="10" fillId="0" borderId="0" xfId="2" applyAlignment="1">
      <alignment vertical="center"/>
    </xf>
    <xf numFmtId="0" fontId="19" fillId="0" borderId="117" xfId="2" applyFont="1" applyBorder="1" applyAlignment="1" applyProtection="1">
      <alignment horizontal="left" vertical="center" indent="1"/>
      <protection locked="0"/>
    </xf>
    <xf numFmtId="0" fontId="19" fillId="0" borderId="114" xfId="2" applyFont="1" applyBorder="1" applyAlignment="1" applyProtection="1">
      <alignment horizontal="left" vertical="center" indent="1"/>
      <protection locked="0"/>
    </xf>
    <xf numFmtId="0" fontId="36" fillId="0" borderId="114" xfId="2" applyFont="1" applyBorder="1" applyAlignment="1" applyProtection="1">
      <alignment horizontal="left" vertical="center" indent="1"/>
      <protection locked="0"/>
    </xf>
    <xf numFmtId="0" fontId="26" fillId="0" borderId="114" xfId="2" applyFont="1" applyBorder="1" applyAlignment="1" applyProtection="1">
      <alignment horizontal="left" vertical="center" indent="1"/>
      <protection locked="0"/>
    </xf>
    <xf numFmtId="0" fontId="0" fillId="0" borderId="0" xfId="0" applyProtection="1">
      <protection locked="0"/>
    </xf>
    <xf numFmtId="0" fontId="0" fillId="0" borderId="0" xfId="0" applyAlignment="1">
      <alignment vertical="top"/>
    </xf>
    <xf numFmtId="0" fontId="42" fillId="0" borderId="111" xfId="2" applyFont="1" applyBorder="1" applyAlignment="1" applyProtection="1">
      <alignment horizontal="left" vertical="center" indent="1"/>
      <protection locked="0"/>
    </xf>
    <xf numFmtId="0" fontId="10" fillId="0" borderId="111" xfId="2" applyBorder="1" applyAlignment="1" applyProtection="1">
      <alignment horizontal="left" vertical="center" indent="1"/>
      <protection locked="0"/>
    </xf>
    <xf numFmtId="170" fontId="0" fillId="0" borderId="0" xfId="0" applyNumberFormat="1" applyAlignment="1" applyProtection="1">
      <alignment horizontal="left" vertical="center" indent="1"/>
      <protection locked="0"/>
    </xf>
    <xf numFmtId="177" fontId="0" fillId="0" borderId="2" xfId="0" applyNumberFormat="1" applyBorder="1" applyAlignment="1" applyProtection="1">
      <alignment horizontal="left" vertical="center" indent="1"/>
      <protection locked="0"/>
    </xf>
    <xf numFmtId="177" fontId="0" fillId="0" borderId="0" xfId="0" applyNumberFormat="1" applyAlignment="1" applyProtection="1">
      <alignment horizontal="left" vertical="center" indent="1"/>
      <protection locked="0"/>
    </xf>
    <xf numFmtId="9" fontId="0" fillId="0" borderId="47" xfId="1" applyFont="1" applyBorder="1" applyAlignment="1" applyProtection="1">
      <alignment horizontal="center"/>
      <protection locked="0"/>
    </xf>
    <xf numFmtId="9" fontId="0" fillId="0" borderId="36" xfId="1" applyFont="1" applyBorder="1" applyAlignment="1" applyProtection="1">
      <alignment horizontal="center"/>
      <protection locked="0"/>
    </xf>
    <xf numFmtId="9" fontId="0" fillId="0" borderId="39" xfId="1" applyFont="1" applyBorder="1" applyAlignment="1" applyProtection="1">
      <alignment horizontal="center"/>
      <protection locked="0"/>
    </xf>
    <xf numFmtId="0" fontId="23" fillId="0" borderId="0" xfId="2" applyFont="1" applyAlignment="1">
      <alignment horizontal="left" indent="1"/>
    </xf>
    <xf numFmtId="0" fontId="22" fillId="0" borderId="0" xfId="2" applyFont="1" applyAlignment="1" applyProtection="1">
      <alignment horizontal="left" indent="1"/>
      <protection locked="0"/>
    </xf>
    <xf numFmtId="0" fontId="25" fillId="11" borderId="76" xfId="2" applyFont="1" applyFill="1" applyBorder="1" applyAlignment="1" applyProtection="1">
      <alignment horizontal="center" vertical="center"/>
      <protection locked="0"/>
    </xf>
    <xf numFmtId="0" fontId="25" fillId="11" borderId="76" xfId="2" applyFont="1" applyFill="1" applyBorder="1" applyAlignment="1" applyProtection="1">
      <alignment vertical="center"/>
      <protection locked="0"/>
    </xf>
    <xf numFmtId="167" fontId="26" fillId="0" borderId="76" xfId="2" applyNumberFormat="1" applyFont="1" applyBorder="1" applyAlignment="1" applyProtection="1">
      <alignment horizontal="center" vertical="center"/>
      <protection locked="0"/>
    </xf>
    <xf numFmtId="167" fontId="26" fillId="0" borderId="76" xfId="2" applyNumberFormat="1" applyFont="1" applyBorder="1" applyAlignment="1" applyProtection="1">
      <alignment vertical="center"/>
      <protection locked="0"/>
    </xf>
    <xf numFmtId="167" fontId="25" fillId="11" borderId="76" xfId="2" applyNumberFormat="1" applyFont="1" applyFill="1" applyBorder="1" applyAlignment="1" applyProtection="1">
      <alignment vertical="center"/>
      <protection locked="0"/>
    </xf>
    <xf numFmtId="167" fontId="25" fillId="11" borderId="76" xfId="2" applyNumberFormat="1" applyFont="1" applyFill="1" applyBorder="1" applyAlignment="1" applyProtection="1">
      <alignment horizontal="center" vertical="center"/>
      <protection locked="0"/>
    </xf>
    <xf numFmtId="0" fontId="43" fillId="0" borderId="0" xfId="2" applyFont="1" applyAlignment="1">
      <alignment horizontal="center"/>
    </xf>
    <xf numFmtId="0" fontId="43" fillId="0" borderId="68" xfId="2" applyFont="1" applyBorder="1" applyAlignment="1">
      <alignment horizontal="center"/>
    </xf>
    <xf numFmtId="0" fontId="43" fillId="2" borderId="72" xfId="2" applyFont="1" applyFill="1" applyBorder="1" applyAlignment="1">
      <alignment horizontal="right" vertical="center"/>
    </xf>
    <xf numFmtId="0" fontId="11" fillId="0" borderId="121" xfId="2" applyFont="1" applyBorder="1" applyAlignment="1">
      <alignment horizontal="right" vertical="top"/>
    </xf>
    <xf numFmtId="0" fontId="11" fillId="0" borderId="123" xfId="2" applyFont="1" applyBorder="1" applyAlignment="1">
      <alignment horizontal="right" vertical="top"/>
    </xf>
    <xf numFmtId="49" fontId="10" fillId="0" borderId="122" xfId="2" applyNumberFormat="1" applyBorder="1" applyAlignment="1" applyProtection="1">
      <alignment horizontal="left" vertical="center" indent="1"/>
      <protection locked="0"/>
    </xf>
    <xf numFmtId="175" fontId="10" fillId="0" borderId="124" xfId="2" applyNumberFormat="1" applyBorder="1" applyAlignment="1" applyProtection="1">
      <alignment horizontal="left" vertical="center" indent="1"/>
      <protection locked="0"/>
    </xf>
    <xf numFmtId="49" fontId="19" fillId="0" borderId="114" xfId="2" applyNumberFormat="1" applyFont="1" applyBorder="1" applyAlignment="1" applyProtection="1">
      <alignment horizontal="left" vertical="center" indent="1"/>
      <protection locked="0"/>
    </xf>
    <xf numFmtId="0" fontId="19" fillId="0" borderId="114" xfId="2" applyFont="1" applyBorder="1" applyProtection="1">
      <protection locked="0"/>
    </xf>
    <xf numFmtId="0" fontId="0" fillId="15" borderId="55" xfId="0" applyFill="1" applyBorder="1" applyAlignment="1" applyProtection="1">
      <alignment horizontal="center" vertical="center"/>
      <protection locked="0"/>
    </xf>
    <xf numFmtId="0" fontId="26" fillId="0" borderId="0" xfId="2" applyFont="1"/>
    <xf numFmtId="49" fontId="0" fillId="0" borderId="55" xfId="0" applyNumberFormat="1" applyBorder="1" applyAlignment="1" applyProtection="1">
      <alignment horizontal="center" vertical="center"/>
      <protection locked="0"/>
    </xf>
    <xf numFmtId="178" fontId="26" fillId="0" borderId="76" xfId="2" applyNumberFormat="1" applyFont="1" applyBorder="1" applyAlignment="1" applyProtection="1">
      <alignment horizontal="center" vertical="center"/>
      <protection locked="0"/>
    </xf>
    <xf numFmtId="179" fontId="26" fillId="0" borderId="76" xfId="2" applyNumberFormat="1" applyFont="1" applyBorder="1" applyAlignment="1" applyProtection="1">
      <alignment horizontal="center" vertical="center"/>
      <protection locked="0"/>
    </xf>
    <xf numFmtId="179" fontId="26" fillId="0" borderId="76" xfId="2" applyNumberFormat="1" applyFont="1" applyBorder="1" applyAlignment="1">
      <alignment horizontal="center" vertical="center"/>
    </xf>
    <xf numFmtId="180" fontId="26" fillId="0" borderId="76" xfId="2" applyNumberFormat="1" applyFont="1" applyBorder="1" applyAlignment="1" applyProtection="1">
      <alignment horizontal="center" vertical="center"/>
      <protection locked="0"/>
    </xf>
    <xf numFmtId="14" fontId="19" fillId="0" borderId="114" xfId="2" applyNumberFormat="1" applyFont="1" applyBorder="1" applyAlignment="1" applyProtection="1">
      <alignment horizontal="left" vertical="center" indent="1"/>
      <protection locked="0"/>
    </xf>
    <xf numFmtId="0" fontId="6" fillId="9" borderId="8" xfId="0" applyFont="1" applyFill="1" applyBorder="1" applyAlignment="1">
      <alignment horizontal="center" vertical="center"/>
    </xf>
    <xf numFmtId="0" fontId="10" fillId="0" borderId="0" xfId="2" applyAlignment="1" applyProtection="1">
      <alignment horizontal="center" vertical="top" wrapText="1"/>
      <protection locked="0"/>
    </xf>
    <xf numFmtId="0" fontId="26" fillId="0" borderId="0" xfId="2" applyFont="1" applyAlignment="1" applyProtection="1">
      <alignment horizontal="left" vertical="top" wrapText="1" indent="1"/>
      <protection locked="0"/>
    </xf>
    <xf numFmtId="0" fontId="23" fillId="0" borderId="0" xfId="2" applyFont="1" applyProtection="1">
      <protection locked="0"/>
    </xf>
    <xf numFmtId="0" fontId="40" fillId="0" borderId="79" xfId="0" applyFont="1" applyBorder="1" applyAlignment="1">
      <alignment horizontal="right"/>
    </xf>
    <xf numFmtId="0" fontId="41" fillId="0" borderId="125" xfId="0" applyFont="1" applyBorder="1" applyAlignment="1" applyProtection="1">
      <alignment horizontal="center" vertical="center"/>
      <protection locked="0"/>
    </xf>
    <xf numFmtId="0" fontId="40" fillId="14" borderId="126" xfId="0" applyFont="1" applyFill="1" applyBorder="1"/>
    <xf numFmtId="0" fontId="40" fillId="14" borderId="120" xfId="0" applyFont="1" applyFill="1" applyBorder="1"/>
    <xf numFmtId="0" fontId="41" fillId="0" borderId="125" xfId="0" applyFont="1" applyBorder="1" applyAlignment="1">
      <alignment horizontal="left" vertical="center" indent="4"/>
    </xf>
    <xf numFmtId="0" fontId="41" fillId="0" borderId="55" xfId="0" applyFont="1" applyBorder="1" applyAlignment="1">
      <alignment horizontal="left" vertical="center" indent="4"/>
    </xf>
    <xf numFmtId="0" fontId="2" fillId="3" borderId="0" xfId="0" applyFont="1" applyFill="1" applyAlignment="1">
      <alignment horizontal="center"/>
    </xf>
    <xf numFmtId="167" fontId="0" fillId="0" borderId="2" xfId="0" applyNumberFormat="1" applyBorder="1" applyAlignment="1">
      <alignment horizontal="center"/>
    </xf>
    <xf numFmtId="9" fontId="0" fillId="0" borderId="0" xfId="1" applyFont="1" applyFill="1" applyBorder="1" applyAlignment="1">
      <alignment horizontal="center"/>
    </xf>
    <xf numFmtId="167" fontId="0" fillId="0" borderId="3" xfId="0" applyNumberFormat="1" applyBorder="1" applyAlignment="1">
      <alignment horizontal="center"/>
    </xf>
    <xf numFmtId="0" fontId="2" fillId="3" borderId="0" xfId="0" applyFont="1" applyFill="1"/>
    <xf numFmtId="167" fontId="0" fillId="0" borderId="2" xfId="0" applyNumberFormat="1" applyBorder="1" applyAlignment="1">
      <alignment horizontal="left"/>
    </xf>
    <xf numFmtId="167" fontId="0" fillId="0" borderId="0" xfId="0" applyNumberFormat="1" applyAlignment="1">
      <alignment horizontal="left"/>
    </xf>
    <xf numFmtId="9" fontId="0" fillId="0" borderId="0" xfId="1" applyFont="1" applyFill="1" applyBorder="1" applyAlignment="1">
      <alignment horizontal="left"/>
    </xf>
    <xf numFmtId="167" fontId="0" fillId="0" borderId="3" xfId="0" applyNumberFormat="1" applyBorder="1" applyAlignment="1">
      <alignment horizontal="left"/>
    </xf>
    <xf numFmtId="0" fontId="0" fillId="0" borderId="0" xfId="0" applyAlignment="1">
      <alignment horizontal="left"/>
    </xf>
    <xf numFmtId="0" fontId="0" fillId="0" borderId="2" xfId="0" applyBorder="1" applyAlignment="1">
      <alignment horizontal="left"/>
    </xf>
    <xf numFmtId="0" fontId="45" fillId="0" borderId="0" xfId="0" applyFont="1" applyAlignment="1">
      <alignment horizontal="left" vertical="center" indent="1"/>
    </xf>
    <xf numFmtId="0" fontId="0" fillId="0" borderId="0" xfId="0" applyAlignment="1" applyProtection="1">
      <alignment horizontal="left" vertical="center"/>
      <protection locked="0"/>
    </xf>
    <xf numFmtId="0" fontId="3" fillId="0" borderId="0" xfId="0" applyFont="1" applyAlignment="1" applyProtection="1">
      <alignment horizontal="left"/>
      <protection locked="0"/>
    </xf>
    <xf numFmtId="181" fontId="0" fillId="0" borderId="0" xfId="0" applyNumberFormat="1" applyAlignment="1">
      <alignment horizontal="center"/>
    </xf>
    <xf numFmtId="0" fontId="3" fillId="6" borderId="2" xfId="0" applyFont="1" applyFill="1" applyBorder="1" applyAlignment="1">
      <alignment horizontal="center"/>
    </xf>
    <xf numFmtId="0" fontId="3" fillId="6" borderId="0" xfId="0" applyFont="1" applyFill="1" applyAlignment="1">
      <alignment horizontal="center"/>
    </xf>
    <xf numFmtId="0" fontId="3" fillId="6" borderId="3" xfId="0" applyFont="1" applyFill="1" applyBorder="1" applyAlignment="1">
      <alignment horizontal="center"/>
    </xf>
    <xf numFmtId="0" fontId="0" fillId="0" borderId="0" xfId="0" applyAlignment="1">
      <alignment horizontal="center" vertical="center" wrapText="1"/>
    </xf>
    <xf numFmtId="0" fontId="6" fillId="9" borderId="28" xfId="0" applyFont="1" applyFill="1" applyBorder="1" applyAlignment="1">
      <alignment horizontal="right" vertical="center" indent="1"/>
    </xf>
    <xf numFmtId="0" fontId="6" fillId="9" borderId="130" xfId="0" applyFont="1" applyFill="1" applyBorder="1" applyAlignment="1">
      <alignment horizontal="right" vertical="center" indent="1"/>
    </xf>
    <xf numFmtId="167" fontId="0" fillId="0" borderId="129" xfId="0" applyNumberFormat="1" applyBorder="1" applyAlignment="1">
      <alignment horizontal="center" vertical="center"/>
    </xf>
    <xf numFmtId="0" fontId="0" fillId="0" borderId="131" xfId="0" applyBorder="1" applyAlignment="1" applyProtection="1">
      <alignment horizontal="center" vertical="center"/>
      <protection locked="0"/>
    </xf>
    <xf numFmtId="167" fontId="0" fillId="0" borderId="0" xfId="1" applyNumberFormat="1" applyFont="1" applyAlignment="1">
      <alignment horizontal="center"/>
    </xf>
    <xf numFmtId="0" fontId="42" fillId="0" borderId="114" xfId="2" applyFont="1" applyBorder="1" applyAlignment="1" applyProtection="1">
      <alignment horizontal="left" vertical="center" indent="1"/>
      <protection locked="0"/>
    </xf>
    <xf numFmtId="0" fontId="0" fillId="0" borderId="129" xfId="0" applyBorder="1" applyAlignment="1" applyProtection="1">
      <alignment horizontal="center" vertical="center"/>
      <protection locked="0"/>
    </xf>
    <xf numFmtId="0" fontId="41" fillId="0" borderId="31" xfId="0" applyFont="1" applyBorder="1" applyAlignment="1">
      <alignment vertical="top"/>
    </xf>
    <xf numFmtId="0" fontId="41" fillId="0" borderId="33" xfId="0" applyFont="1" applyBorder="1" applyAlignment="1" applyProtection="1">
      <alignment horizontal="left" vertical="center" indent="2"/>
      <protection locked="0"/>
    </xf>
    <xf numFmtId="0" fontId="41" fillId="0" borderId="125" xfId="0" applyFont="1" applyBorder="1" applyAlignment="1">
      <alignment horizontal="left" vertical="top"/>
    </xf>
    <xf numFmtId="0" fontId="0" fillId="0" borderId="0" xfId="0" applyAlignment="1">
      <alignment horizontal="center" vertical="top"/>
    </xf>
    <xf numFmtId="0" fontId="48" fillId="0" borderId="82" xfId="0" applyFont="1" applyBorder="1" applyAlignment="1">
      <alignment horizontal="right"/>
    </xf>
    <xf numFmtId="0" fontId="41" fillId="0" borderId="55" xfId="0" applyFont="1" applyBorder="1" applyAlignment="1" applyProtection="1">
      <alignment horizontal="left" vertical="center" indent="15"/>
      <protection locked="0"/>
    </xf>
    <xf numFmtId="167" fontId="7" fillId="0" borderId="28" xfId="0" applyNumberFormat="1" applyFont="1" applyBorder="1" applyAlignment="1">
      <alignment horizontal="center"/>
    </xf>
    <xf numFmtId="167" fontId="7" fillId="0" borderId="29" xfId="0" applyNumberFormat="1" applyFont="1" applyBorder="1" applyAlignment="1">
      <alignment horizontal="center"/>
    </xf>
    <xf numFmtId="167" fontId="7" fillId="0" borderId="36" xfId="0" applyNumberFormat="1" applyFont="1" applyBorder="1" applyAlignment="1">
      <alignment horizontal="center"/>
    </xf>
    <xf numFmtId="167" fontId="7" fillId="0" borderId="38" xfId="0" applyNumberFormat="1" applyFont="1" applyBorder="1" applyAlignment="1">
      <alignment horizontal="center"/>
    </xf>
    <xf numFmtId="167" fontId="7" fillId="0" borderId="39" xfId="0" applyNumberFormat="1" applyFont="1" applyBorder="1" applyAlignment="1">
      <alignment horizontal="center"/>
    </xf>
    <xf numFmtId="0" fontId="0" fillId="0" borderId="0" xfId="0" quotePrefix="1" applyAlignment="1">
      <alignment horizontal="center"/>
    </xf>
    <xf numFmtId="9" fontId="0" fillId="0" borderId="0" xfId="0" applyNumberFormat="1" applyAlignment="1">
      <alignment horizontal="center"/>
    </xf>
    <xf numFmtId="9" fontId="0" fillId="0" borderId="0" xfId="0" quotePrefix="1" applyNumberFormat="1" applyAlignment="1">
      <alignment horizontal="center"/>
    </xf>
    <xf numFmtId="0" fontId="0" fillId="0" borderId="0" xfId="0" applyAlignment="1">
      <alignment horizontal="center" wrapText="1"/>
    </xf>
    <xf numFmtId="0" fontId="11" fillId="2" borderId="0" xfId="2" applyFont="1" applyFill="1" applyAlignment="1">
      <alignment horizontal="right" vertical="center"/>
    </xf>
    <xf numFmtId="0" fontId="26" fillId="2" borderId="0" xfId="2" applyFont="1" applyFill="1" applyAlignment="1" applyProtection="1">
      <alignment horizontal="left" vertical="center" indent="1"/>
      <protection locked="0"/>
    </xf>
    <xf numFmtId="0" fontId="43" fillId="2" borderId="70" xfId="2" applyFont="1" applyFill="1" applyBorder="1" applyAlignment="1">
      <alignment horizontal="right" vertical="center"/>
    </xf>
    <xf numFmtId="0" fontId="0" fillId="0" borderId="0" xfId="0" quotePrefix="1"/>
    <xf numFmtId="182" fontId="19" fillId="0" borderId="114" xfId="2" applyNumberFormat="1" applyFont="1" applyBorder="1" applyAlignment="1" applyProtection="1">
      <alignment horizontal="left" vertical="center" indent="1"/>
      <protection locked="0"/>
    </xf>
    <xf numFmtId="0" fontId="10" fillId="0" borderId="122" xfId="2" applyBorder="1" applyAlignment="1" applyProtection="1">
      <alignment horizontal="center" vertical="center"/>
      <protection locked="0"/>
    </xf>
    <xf numFmtId="22" fontId="10" fillId="0" borderId="124" xfId="2" applyNumberFormat="1" applyBorder="1" applyAlignment="1" applyProtection="1">
      <alignment horizontal="center" vertical="center"/>
      <protection locked="0"/>
    </xf>
    <xf numFmtId="0" fontId="2" fillId="0" borderId="5" xfId="0" applyFont="1" applyBorder="1" applyAlignment="1">
      <alignment horizontal="center" vertical="center"/>
    </xf>
    <xf numFmtId="14" fontId="10" fillId="0" borderId="0" xfId="2" applyNumberFormat="1" applyAlignment="1">
      <alignment horizontal="center" vertical="center"/>
    </xf>
    <xf numFmtId="0" fontId="28" fillId="0" borderId="0" xfId="2" applyFont="1" applyAlignment="1">
      <alignment vertical="center"/>
    </xf>
    <xf numFmtId="0" fontId="18" fillId="0" borderId="89" xfId="2" applyFont="1" applyBorder="1" applyAlignment="1">
      <alignment horizontal="center" vertical="center"/>
    </xf>
    <xf numFmtId="0" fontId="18" fillId="0" borderId="90" xfId="2" applyFont="1" applyBorder="1" applyAlignment="1">
      <alignment horizontal="center" vertical="center"/>
    </xf>
    <xf numFmtId="173" fontId="10" fillId="0" borderId="5" xfId="2" applyNumberFormat="1" applyBorder="1" applyAlignment="1">
      <alignment horizontal="center" vertical="center"/>
    </xf>
    <xf numFmtId="173" fontId="10" fillId="0" borderId="11" xfId="2" applyNumberFormat="1" applyBorder="1" applyAlignment="1">
      <alignment horizontal="center" vertical="center"/>
    </xf>
    <xf numFmtId="173" fontId="10" fillId="0" borderId="0" xfId="2" applyNumberFormat="1" applyAlignment="1">
      <alignment horizontal="center" vertical="center"/>
    </xf>
    <xf numFmtId="173" fontId="10" fillId="0" borderId="92" xfId="2" applyNumberFormat="1" applyBorder="1" applyAlignment="1">
      <alignment horizontal="center" vertical="center"/>
    </xf>
    <xf numFmtId="173" fontId="10" fillId="0" borderId="93" xfId="2" applyNumberFormat="1" applyBorder="1" applyAlignment="1">
      <alignment horizontal="center" vertical="center"/>
    </xf>
    <xf numFmtId="0" fontId="10" fillId="0" borderId="0" xfId="2" applyAlignment="1">
      <alignment horizontal="right" vertical="center"/>
    </xf>
    <xf numFmtId="0" fontId="10" fillId="0" borderId="80" xfId="2" applyBorder="1" applyAlignment="1">
      <alignment vertical="center"/>
    </xf>
    <xf numFmtId="0" fontId="18" fillId="0" borderId="80" xfId="2" applyFont="1" applyBorder="1" applyAlignment="1">
      <alignment horizontal="center" vertical="center"/>
    </xf>
    <xf numFmtId="0" fontId="10" fillId="0" borderId="85" xfId="2" applyBorder="1" applyAlignment="1">
      <alignment vertical="center"/>
    </xf>
    <xf numFmtId="0" fontId="18" fillId="0" borderId="85" xfId="2" applyFont="1" applyBorder="1" applyAlignment="1">
      <alignment horizontal="center" vertical="center"/>
    </xf>
    <xf numFmtId="0" fontId="29" fillId="0" borderId="0" xfId="2" applyFont="1" applyAlignment="1">
      <alignment horizontal="center" vertical="center"/>
    </xf>
    <xf numFmtId="0" fontId="29" fillId="0" borderId="0" xfId="2" applyFont="1" applyAlignment="1">
      <alignment horizontal="right" vertical="center"/>
    </xf>
    <xf numFmtId="173" fontId="29" fillId="0" borderId="0" xfId="2" applyNumberFormat="1" applyFont="1" applyAlignment="1">
      <alignment horizontal="center" vertical="center" wrapText="1"/>
    </xf>
    <xf numFmtId="173" fontId="29" fillId="0" borderId="0" xfId="2" applyNumberFormat="1" applyFont="1" applyAlignment="1">
      <alignment horizontal="center" vertical="center"/>
    </xf>
    <xf numFmtId="9" fontId="10" fillId="0" borderId="0" xfId="1" applyFont="1" applyAlignment="1">
      <alignment vertical="center"/>
    </xf>
    <xf numFmtId="168" fontId="10" fillId="0" borderId="0" xfId="2" applyNumberFormat="1" applyAlignment="1">
      <alignment vertical="center"/>
    </xf>
    <xf numFmtId="173" fontId="29" fillId="0" borderId="0" xfId="6" applyNumberFormat="1" applyFont="1" applyFill="1" applyBorder="1" applyAlignment="1">
      <alignment horizontal="center" vertical="center" wrapText="1"/>
    </xf>
    <xf numFmtId="9" fontId="29" fillId="0" borderId="0" xfId="1" applyFont="1" applyFill="1" applyBorder="1" applyAlignment="1">
      <alignment horizontal="center" vertical="center" wrapText="1"/>
    </xf>
    <xf numFmtId="9" fontId="29" fillId="0" borderId="0" xfId="1" applyFont="1" applyFill="1" applyBorder="1" applyAlignment="1">
      <alignment horizontal="center" vertical="center"/>
    </xf>
    <xf numFmtId="0" fontId="10" fillId="0" borderId="95" xfId="2" applyBorder="1" applyAlignment="1">
      <alignment horizontal="center" vertical="center"/>
    </xf>
    <xf numFmtId="0" fontId="10" fillId="0" borderId="96" xfId="2" applyBorder="1" applyAlignment="1" applyProtection="1">
      <alignment horizontal="center" vertical="center"/>
      <protection locked="0"/>
    </xf>
    <xf numFmtId="9" fontId="0" fillId="0" borderId="97" xfId="5" applyFont="1" applyBorder="1" applyAlignment="1" applyProtection="1">
      <alignment horizontal="center" vertical="center"/>
      <protection locked="0"/>
    </xf>
    <xf numFmtId="0" fontId="10" fillId="12" borderId="98" xfId="2" applyFill="1" applyBorder="1" applyAlignment="1">
      <alignment horizontal="center" vertical="center"/>
    </xf>
    <xf numFmtId="0" fontId="10" fillId="12" borderId="88" xfId="2" applyFill="1" applyBorder="1" applyAlignment="1">
      <alignment horizontal="center" vertical="center"/>
    </xf>
    <xf numFmtId="173" fontId="10" fillId="0" borderId="96" xfId="2" applyNumberFormat="1" applyBorder="1" applyAlignment="1">
      <alignment horizontal="center" vertical="center"/>
    </xf>
    <xf numFmtId="173" fontId="10" fillId="0" borderId="99" xfId="2" applyNumberFormat="1" applyBorder="1" applyAlignment="1">
      <alignment horizontal="center" vertical="center"/>
    </xf>
    <xf numFmtId="0" fontId="10" fillId="12" borderId="0" xfId="2" applyFill="1" applyAlignment="1">
      <alignment horizontal="center" vertical="center"/>
    </xf>
    <xf numFmtId="9" fontId="0" fillId="12" borderId="0" xfId="5" applyFont="1" applyFill="1" applyAlignment="1">
      <alignment horizontal="center" vertical="center"/>
    </xf>
    <xf numFmtId="0" fontId="10" fillId="0" borderId="100" xfId="2" applyBorder="1" applyAlignment="1" applyProtection="1">
      <alignment horizontal="center" vertical="center"/>
      <protection locked="0"/>
    </xf>
    <xf numFmtId="0" fontId="10" fillId="0" borderId="97" xfId="2" applyBorder="1" applyAlignment="1" applyProtection="1">
      <alignment horizontal="center" vertical="center"/>
      <protection locked="0"/>
    </xf>
    <xf numFmtId="173" fontId="18" fillId="0" borderId="0" xfId="2" applyNumberFormat="1" applyFont="1" applyAlignment="1">
      <alignment horizontal="center" vertical="center"/>
    </xf>
    <xf numFmtId="0" fontId="10" fillId="0" borderId="101" xfId="2" applyBorder="1" applyAlignment="1">
      <alignment horizontal="center" vertical="center"/>
    </xf>
    <xf numFmtId="0" fontId="10" fillId="0" borderId="102" xfId="2" applyBorder="1" applyAlignment="1" applyProtection="1">
      <alignment horizontal="center" vertical="center"/>
      <protection locked="0"/>
    </xf>
    <xf numFmtId="9" fontId="0" fillId="0" borderId="103" xfId="5" applyFont="1" applyBorder="1" applyAlignment="1" applyProtection="1">
      <alignment horizontal="center" vertical="center"/>
      <protection locked="0"/>
    </xf>
    <xf numFmtId="0" fontId="10" fillId="12" borderId="44" xfId="2" applyFill="1" applyBorder="1" applyAlignment="1">
      <alignment horizontal="center" vertical="center"/>
    </xf>
    <xf numFmtId="0" fontId="10" fillId="12" borderId="80" xfId="2" applyFill="1" applyBorder="1" applyAlignment="1">
      <alignment horizontal="center" vertical="center"/>
    </xf>
    <xf numFmtId="0" fontId="10" fillId="12" borderId="104" xfId="2" applyFill="1" applyBorder="1" applyAlignment="1">
      <alignment horizontal="center" vertical="center"/>
    </xf>
    <xf numFmtId="173" fontId="10" fillId="0" borderId="102" xfId="2" applyNumberFormat="1" applyBorder="1" applyAlignment="1">
      <alignment horizontal="center" vertical="center"/>
    </xf>
    <xf numFmtId="173" fontId="10" fillId="0" borderId="45" xfId="2" applyNumberFormat="1" applyBorder="1" applyAlignment="1">
      <alignment horizontal="center" vertical="center"/>
    </xf>
    <xf numFmtId="0" fontId="10" fillId="0" borderId="105" xfId="2" applyBorder="1" applyAlignment="1">
      <alignment horizontal="center" vertical="center"/>
    </xf>
    <xf numFmtId="0" fontId="10" fillId="12" borderId="60" xfId="2" applyFill="1" applyBorder="1" applyAlignment="1">
      <alignment horizontal="center" vertical="center"/>
    </xf>
    <xf numFmtId="9" fontId="0" fillId="12" borderId="61" xfId="5" applyFont="1" applyFill="1" applyBorder="1" applyAlignment="1">
      <alignment horizontal="center" vertical="center"/>
    </xf>
    <xf numFmtId="0" fontId="10" fillId="0" borderId="29" xfId="2" applyBorder="1" applyAlignment="1" applyProtection="1">
      <alignment horizontal="center" vertical="center"/>
      <protection locked="0"/>
    </xf>
    <xf numFmtId="0" fontId="10" fillId="12" borderId="12" xfId="2" applyFill="1" applyBorder="1" applyAlignment="1">
      <alignment horizontal="center" vertical="center"/>
    </xf>
    <xf numFmtId="173" fontId="10" fillId="0" borderId="60" xfId="2" applyNumberFormat="1" applyBorder="1" applyAlignment="1">
      <alignment horizontal="center" vertical="center"/>
    </xf>
    <xf numFmtId="173" fontId="10" fillId="0" borderId="36" xfId="2" applyNumberFormat="1" applyBorder="1" applyAlignment="1">
      <alignment horizontal="center" vertical="center"/>
    </xf>
    <xf numFmtId="0" fontId="10" fillId="0" borderId="106" xfId="2" applyBorder="1" applyAlignment="1">
      <alignment horizontal="center" vertical="center"/>
    </xf>
    <xf numFmtId="0" fontId="10" fillId="0" borderId="107" xfId="2" applyBorder="1" applyAlignment="1" applyProtection="1">
      <alignment horizontal="center" vertical="center"/>
      <protection locked="0"/>
    </xf>
    <xf numFmtId="9" fontId="0" fillId="0" borderId="108" xfId="5" applyFont="1" applyBorder="1" applyAlignment="1" applyProtection="1">
      <alignment horizontal="center" vertical="center"/>
      <protection locked="0"/>
    </xf>
    <xf numFmtId="0" fontId="10" fillId="12" borderId="38" xfId="2" applyFill="1" applyBorder="1" applyAlignment="1">
      <alignment horizontal="center" vertical="center"/>
    </xf>
    <xf numFmtId="0" fontId="10" fillId="12" borderId="85" xfId="2" applyFill="1" applyBorder="1" applyAlignment="1">
      <alignment horizontal="center" vertical="center"/>
    </xf>
    <xf numFmtId="0" fontId="10" fillId="12" borderId="91" xfId="2" applyFill="1" applyBorder="1" applyAlignment="1">
      <alignment horizontal="center" vertical="center"/>
    </xf>
    <xf numFmtId="173" fontId="10" fillId="0" borderId="107" xfId="2" applyNumberFormat="1" applyBorder="1" applyAlignment="1">
      <alignment horizontal="center" vertical="center"/>
    </xf>
    <xf numFmtId="173" fontId="10" fillId="0" borderId="39" xfId="2" applyNumberFormat="1" applyBorder="1" applyAlignment="1">
      <alignment horizontal="center" vertical="center"/>
    </xf>
    <xf numFmtId="0" fontId="46" fillId="0" borderId="0" xfId="0" applyFont="1" applyAlignment="1">
      <alignment horizontal="center"/>
    </xf>
    <xf numFmtId="43" fontId="0" fillId="0" borderId="0" xfId="6" applyFont="1" applyFill="1"/>
    <xf numFmtId="182" fontId="19" fillId="15" borderId="114" xfId="2" applyNumberFormat="1" applyFont="1" applyFill="1" applyBorder="1" applyAlignment="1" applyProtection="1">
      <alignment horizontal="left" vertical="center" indent="1"/>
      <protection locked="0"/>
    </xf>
    <xf numFmtId="9" fontId="0" fillId="0" borderId="0" xfId="0" quotePrefix="1" applyNumberFormat="1"/>
    <xf numFmtId="0" fontId="3" fillId="7" borderId="0" xfId="0" applyFont="1" applyFill="1" applyAlignment="1">
      <alignment horizontal="center"/>
    </xf>
    <xf numFmtId="0" fontId="3" fillId="8" borderId="2" xfId="0" applyFont="1" applyFill="1" applyBorder="1" applyAlignment="1">
      <alignment horizontal="center"/>
    </xf>
    <xf numFmtId="0" fontId="3" fillId="8" borderId="0" xfId="0" applyFont="1" applyFill="1" applyAlignment="1">
      <alignment horizontal="center"/>
    </xf>
    <xf numFmtId="0" fontId="3" fillId="8" borderId="3" xfId="0" applyFont="1" applyFill="1" applyBorder="1" applyAlignment="1">
      <alignment horizontal="center"/>
    </xf>
    <xf numFmtId="9" fontId="0" fillId="0" borderId="0" xfId="0" applyNumberFormat="1" applyAlignment="1">
      <alignment horizontal="center" vertical="center" wrapText="1"/>
    </xf>
    <xf numFmtId="9" fontId="0" fillId="0" borderId="0" xfId="0" applyNumberFormat="1" applyAlignment="1">
      <alignment horizontal="center" vertical="center"/>
    </xf>
    <xf numFmtId="0" fontId="9" fillId="0" borderId="0" xfId="0" applyFont="1"/>
    <xf numFmtId="10" fontId="0" fillId="0" borderId="0" xfId="0" applyNumberFormat="1"/>
    <xf numFmtId="49" fontId="6" fillId="16" borderId="87" xfId="0" applyNumberFormat="1" applyFont="1" applyFill="1" applyBorder="1" applyAlignment="1" applyProtection="1">
      <alignment horizontal="center" vertical="center"/>
      <protection locked="0"/>
    </xf>
    <xf numFmtId="0" fontId="11" fillId="16" borderId="110" xfId="2" applyFont="1" applyFill="1" applyBorder="1" applyAlignment="1">
      <alignment horizontal="right" vertical="center"/>
    </xf>
    <xf numFmtId="0" fontId="49" fillId="16" borderId="114" xfId="7" applyFont="1" applyFill="1" applyBorder="1" applyAlignment="1" applyProtection="1">
      <alignment horizontal="left" vertical="center" indent="1"/>
      <protection locked="0"/>
    </xf>
    <xf numFmtId="0" fontId="49" fillId="16" borderId="55" xfId="7" applyFont="1" applyFill="1" applyBorder="1" applyAlignment="1" applyProtection="1">
      <alignment horizontal="left" vertical="center" indent="14"/>
    </xf>
    <xf numFmtId="0" fontId="0" fillId="0" borderId="0" xfId="0" applyAlignment="1" applyProtection="1">
      <alignment horizontal="center"/>
      <protection locked="0"/>
    </xf>
    <xf numFmtId="0" fontId="0" fillId="0" borderId="12" xfId="0" applyBorder="1" applyAlignment="1" applyProtection="1">
      <alignment horizontal="center"/>
      <protection locked="0"/>
    </xf>
    <xf numFmtId="0" fontId="0" fillId="0" borderId="3" xfId="0" applyBorder="1" applyAlignment="1" applyProtection="1">
      <alignment horizontal="center"/>
      <protection locked="0"/>
    </xf>
    <xf numFmtId="0" fontId="0" fillId="0" borderId="4" xfId="0" applyBorder="1" applyAlignment="1" applyProtection="1">
      <alignment horizontal="center"/>
      <protection locked="0"/>
    </xf>
    <xf numFmtId="0" fontId="0" fillId="0" borderId="2" xfId="0" applyBorder="1" applyAlignment="1" applyProtection="1">
      <alignment horizontal="center"/>
      <protection locked="0"/>
    </xf>
    <xf numFmtId="0" fontId="0" fillId="0" borderId="10" xfId="0" applyBorder="1" applyAlignment="1" applyProtection="1">
      <alignment horizontal="center"/>
      <protection locked="0"/>
    </xf>
    <xf numFmtId="0" fontId="0" fillId="0" borderId="79" xfId="0" applyBorder="1" applyAlignment="1" applyProtection="1">
      <alignment horizontal="left" vertical="top" wrapText="1" indent="6"/>
      <protection locked="0"/>
    </xf>
    <xf numFmtId="0" fontId="0" fillId="0" borderId="80" xfId="0" applyBorder="1" applyAlignment="1" applyProtection="1">
      <alignment horizontal="left" vertical="top" indent="6"/>
      <protection locked="0"/>
    </xf>
    <xf numFmtId="0" fontId="0" fillId="0" borderId="82" xfId="0" applyBorder="1" applyAlignment="1" applyProtection="1">
      <alignment horizontal="left" vertical="top" indent="6"/>
      <protection locked="0"/>
    </xf>
    <xf numFmtId="0" fontId="0" fillId="0" borderId="81" xfId="0" applyBorder="1" applyAlignment="1" applyProtection="1">
      <alignment horizontal="left" vertical="top" indent="6"/>
      <protection locked="0"/>
    </xf>
    <xf numFmtId="0" fontId="0" fillId="0" borderId="0" xfId="0" applyAlignment="1" applyProtection="1">
      <alignment horizontal="left" vertical="top" indent="6"/>
      <protection locked="0"/>
    </xf>
    <xf numFmtId="0" fontId="0" fillId="0" borderId="83" xfId="0" applyBorder="1" applyAlignment="1" applyProtection="1">
      <alignment horizontal="left" vertical="top" indent="6"/>
      <protection locked="0"/>
    </xf>
    <xf numFmtId="0" fontId="0" fillId="0" borderId="84" xfId="0" applyBorder="1" applyAlignment="1" applyProtection="1">
      <alignment horizontal="left" vertical="top" indent="6"/>
      <protection locked="0"/>
    </xf>
    <xf numFmtId="0" fontId="0" fillId="0" borderId="85" xfId="0" applyBorder="1" applyAlignment="1" applyProtection="1">
      <alignment horizontal="left" vertical="top" indent="6"/>
      <protection locked="0"/>
    </xf>
    <xf numFmtId="0" fontId="0" fillId="0" borderId="86" xfId="0" applyBorder="1" applyAlignment="1" applyProtection="1">
      <alignment horizontal="left" vertical="top" indent="6"/>
      <protection locked="0"/>
    </xf>
    <xf numFmtId="0" fontId="0" fillId="9" borderId="48" xfId="0" applyFill="1" applyBorder="1" applyAlignment="1">
      <alignment horizontal="center"/>
    </xf>
    <xf numFmtId="0" fontId="0" fillId="9" borderId="49" xfId="0" applyFill="1" applyBorder="1" applyAlignment="1">
      <alignment horizontal="center"/>
    </xf>
    <xf numFmtId="0" fontId="0" fillId="9" borderId="54" xfId="0" applyFill="1" applyBorder="1" applyAlignment="1">
      <alignment horizontal="center"/>
    </xf>
    <xf numFmtId="0" fontId="0" fillId="0" borderId="9" xfId="0" applyBorder="1" applyAlignment="1" applyProtection="1">
      <alignment horizontal="center"/>
      <protection locked="0"/>
    </xf>
    <xf numFmtId="0" fontId="0" fillId="0" borderId="11" xfId="0" applyBorder="1" applyAlignment="1" applyProtection="1">
      <alignment horizontal="center"/>
      <protection locked="0"/>
    </xf>
    <xf numFmtId="0" fontId="0" fillId="0" borderId="13" xfId="0" applyBorder="1" applyAlignment="1" applyProtection="1">
      <alignment horizontal="center"/>
      <protection locked="0"/>
    </xf>
    <xf numFmtId="0" fontId="0" fillId="0" borderId="1" xfId="0" applyBorder="1" applyAlignment="1" applyProtection="1">
      <alignment horizontal="right" vertical="center"/>
      <protection locked="0"/>
    </xf>
    <xf numFmtId="0" fontId="0" fillId="0" borderId="120" xfId="0" applyBorder="1" applyAlignment="1" applyProtection="1">
      <alignment horizontal="right" vertical="center"/>
      <protection locked="0"/>
    </xf>
    <xf numFmtId="0" fontId="2" fillId="9" borderId="24" xfId="0" applyFont="1" applyFill="1" applyBorder="1" applyAlignment="1">
      <alignment horizontal="center"/>
    </xf>
    <xf numFmtId="0" fontId="2" fillId="9" borderId="1" xfId="0" applyFont="1" applyFill="1" applyBorder="1" applyAlignment="1">
      <alignment horizontal="center"/>
    </xf>
    <xf numFmtId="0" fontId="2" fillId="9" borderId="48" xfId="0" applyFont="1" applyFill="1" applyBorder="1" applyAlignment="1">
      <alignment horizontal="center" vertical="center"/>
    </xf>
    <xf numFmtId="0" fontId="2" fillId="9" borderId="49" xfId="0" applyFont="1" applyFill="1" applyBorder="1" applyAlignment="1">
      <alignment horizontal="center" vertical="center"/>
    </xf>
    <xf numFmtId="0" fontId="0" fillId="0" borderId="126" xfId="0" applyBorder="1"/>
    <xf numFmtId="0" fontId="0" fillId="0" borderId="120" xfId="0" applyBorder="1"/>
    <xf numFmtId="0" fontId="0" fillId="0" borderId="127" xfId="0" applyBorder="1" applyAlignment="1">
      <alignment horizontal="center"/>
    </xf>
    <xf numFmtId="0" fontId="0" fillId="0" borderId="128" xfId="0" applyBorder="1" applyAlignment="1">
      <alignment horizontal="center"/>
    </xf>
    <xf numFmtId="0" fontId="41" fillId="0" borderId="132" xfId="0" applyFont="1" applyBorder="1" applyAlignment="1" applyProtection="1">
      <alignment horizontal="left" indent="14"/>
      <protection locked="0"/>
    </xf>
    <xf numFmtId="0" fontId="41" fillId="0" borderId="133" xfId="0" applyFont="1" applyBorder="1" applyAlignment="1" applyProtection="1">
      <alignment horizontal="left" indent="14"/>
      <protection locked="0"/>
    </xf>
    <xf numFmtId="0" fontId="41" fillId="0" borderId="126" xfId="0" applyFont="1" applyBorder="1" applyAlignment="1" applyProtection="1">
      <alignment horizontal="center"/>
      <protection locked="0"/>
    </xf>
    <xf numFmtId="0" fontId="41" fillId="0" borderId="120" xfId="0" applyFont="1" applyBorder="1" applyAlignment="1" applyProtection="1">
      <alignment horizontal="center"/>
      <protection locked="0"/>
    </xf>
    <xf numFmtId="0" fontId="0" fillId="6" borderId="2" xfId="0" applyFill="1" applyBorder="1" applyAlignment="1">
      <alignment horizontal="center" vertical="center" wrapText="1"/>
    </xf>
    <xf numFmtId="0" fontId="0" fillId="6" borderId="3" xfId="0" applyFill="1" applyBorder="1" applyAlignment="1">
      <alignment horizontal="center" vertical="center" wrapText="1"/>
    </xf>
    <xf numFmtId="0" fontId="0" fillId="7" borderId="0" xfId="0" applyFill="1" applyAlignment="1">
      <alignment horizontal="center" vertical="center"/>
    </xf>
    <xf numFmtId="0" fontId="0" fillId="8" borderId="2" xfId="0" applyFill="1" applyBorder="1" applyAlignment="1">
      <alignment horizontal="center" vertical="center"/>
    </xf>
    <xf numFmtId="0" fontId="0" fillId="8" borderId="0" xfId="0" applyFill="1" applyAlignment="1">
      <alignment horizontal="center" vertical="center"/>
    </xf>
    <xf numFmtId="0" fontId="11" fillId="0" borderId="118" xfId="2" applyFont="1" applyBorder="1" applyAlignment="1">
      <alignment horizontal="right" vertical="center"/>
    </xf>
    <xf numFmtId="0" fontId="11" fillId="0" borderId="136" xfId="2" applyFont="1" applyBorder="1" applyAlignment="1">
      <alignment horizontal="right" vertical="center"/>
    </xf>
    <xf numFmtId="0" fontId="11" fillId="0" borderId="134" xfId="2" applyFont="1" applyBorder="1" applyAlignment="1">
      <alignment horizontal="right" vertical="center"/>
    </xf>
    <xf numFmtId="0" fontId="11" fillId="0" borderId="135" xfId="2" applyFont="1" applyBorder="1" applyAlignment="1">
      <alignment horizontal="right" vertical="center"/>
    </xf>
    <xf numFmtId="0" fontId="11" fillId="10" borderId="48" xfId="2" applyFont="1" applyFill="1" applyBorder="1" applyAlignment="1">
      <alignment horizontal="center" vertical="center"/>
    </xf>
    <xf numFmtId="0" fontId="11" fillId="10" borderId="49" xfId="2" applyFont="1" applyFill="1" applyBorder="1" applyAlignment="1">
      <alignment horizontal="center" vertical="center"/>
    </xf>
    <xf numFmtId="0" fontId="11" fillId="10" borderId="54" xfId="2" applyFont="1" applyFill="1" applyBorder="1" applyAlignment="1">
      <alignment horizontal="center" vertical="center"/>
    </xf>
    <xf numFmtId="0" fontId="17" fillId="0" borderId="0" xfId="2" applyFont="1" applyAlignment="1">
      <alignment horizontal="left"/>
    </xf>
    <xf numFmtId="0" fontId="10" fillId="0" borderId="0" xfId="2"/>
    <xf numFmtId="0" fontId="33" fillId="0" borderId="68" xfId="2" applyFont="1" applyBorder="1" applyAlignment="1">
      <alignment horizontal="left"/>
    </xf>
    <xf numFmtId="0" fontId="18" fillId="10" borderId="48" xfId="2" applyFont="1" applyFill="1" applyBorder="1" applyAlignment="1">
      <alignment horizontal="center" vertical="center"/>
    </xf>
    <xf numFmtId="0" fontId="10" fillId="10" borderId="49" xfId="2" applyFill="1" applyBorder="1"/>
    <xf numFmtId="0" fontId="10" fillId="10" borderId="54" xfId="2" applyFill="1" applyBorder="1"/>
    <xf numFmtId="0" fontId="11" fillId="10" borderId="48" xfId="2" applyFont="1" applyFill="1" applyBorder="1" applyAlignment="1">
      <alignment horizontal="center"/>
    </xf>
    <xf numFmtId="0" fontId="11" fillId="10" borderId="54" xfId="2" applyFont="1" applyFill="1" applyBorder="1" applyAlignment="1">
      <alignment horizontal="center"/>
    </xf>
    <xf numFmtId="0" fontId="19" fillId="0" borderId="73" xfId="7" applyFont="1" applyBorder="1" applyAlignment="1" applyProtection="1">
      <alignment horizontal="left" vertical="top" wrapText="1"/>
      <protection locked="0"/>
    </xf>
    <xf numFmtId="0" fontId="19" fillId="0" borderId="74" xfId="7" applyFont="1" applyBorder="1" applyAlignment="1" applyProtection="1">
      <alignment horizontal="left" vertical="top" wrapText="1"/>
      <protection locked="0"/>
    </xf>
    <xf numFmtId="0" fontId="19" fillId="0" borderId="69" xfId="7" applyFont="1" applyBorder="1" applyAlignment="1" applyProtection="1">
      <alignment horizontal="left" vertical="top" wrapText="1"/>
      <protection locked="0"/>
    </xf>
    <xf numFmtId="0" fontId="19" fillId="0" borderId="70" xfId="7" applyFont="1" applyBorder="1" applyAlignment="1" applyProtection="1">
      <alignment horizontal="left" vertical="top" wrapText="1"/>
      <protection locked="0"/>
    </xf>
    <xf numFmtId="0" fontId="19" fillId="0" borderId="71" xfId="7" applyFont="1" applyBorder="1" applyAlignment="1" applyProtection="1">
      <alignment horizontal="left" vertical="top" wrapText="1"/>
      <protection locked="0"/>
    </xf>
    <xf numFmtId="0" fontId="19" fillId="0" borderId="72" xfId="7" applyFont="1" applyBorder="1" applyAlignment="1" applyProtection="1">
      <alignment horizontal="left" vertical="top" wrapText="1"/>
      <protection locked="0"/>
    </xf>
    <xf numFmtId="0" fontId="39" fillId="0" borderId="56" xfId="2" applyFont="1" applyBorder="1" applyAlignment="1">
      <alignment horizontal="center"/>
    </xf>
    <xf numFmtId="0" fontId="39" fillId="0" borderId="57" xfId="2" applyFont="1" applyBorder="1" applyAlignment="1">
      <alignment horizontal="center"/>
    </xf>
    <xf numFmtId="0" fontId="10" fillId="0" borderId="57" xfId="2" applyBorder="1" applyAlignment="1">
      <alignment horizontal="center"/>
    </xf>
    <xf numFmtId="0" fontId="10" fillId="0" borderId="58" xfId="2" applyBorder="1" applyAlignment="1">
      <alignment horizontal="center"/>
    </xf>
    <xf numFmtId="0" fontId="11" fillId="0" borderId="56" xfId="2" applyFont="1" applyBorder="1" applyAlignment="1">
      <alignment horizontal="center"/>
    </xf>
    <xf numFmtId="0" fontId="11" fillId="0" borderId="57" xfId="2" applyFont="1" applyBorder="1" applyAlignment="1">
      <alignment horizontal="center"/>
    </xf>
    <xf numFmtId="0" fontId="11" fillId="0" borderId="58" xfId="2" applyFont="1" applyBorder="1" applyAlignment="1">
      <alignment horizontal="center"/>
    </xf>
    <xf numFmtId="0" fontId="10" fillId="0" borderId="57" xfId="2" applyBorder="1" applyAlignment="1" applyProtection="1">
      <alignment horizontal="center"/>
      <protection locked="0"/>
    </xf>
    <xf numFmtId="0" fontId="10" fillId="0" borderId="58" xfId="2" applyBorder="1" applyAlignment="1" applyProtection="1">
      <alignment horizontal="center"/>
      <protection locked="0"/>
    </xf>
    <xf numFmtId="0" fontId="39" fillId="0" borderId="62" xfId="2" applyFont="1" applyBorder="1" applyAlignment="1">
      <alignment horizontal="center"/>
    </xf>
    <xf numFmtId="0" fontId="39" fillId="0" borderId="63" xfId="2" applyFont="1" applyBorder="1" applyAlignment="1">
      <alignment horizontal="center"/>
    </xf>
    <xf numFmtId="0" fontId="10" fillId="0" borderId="63" xfId="2" applyBorder="1" applyAlignment="1" applyProtection="1">
      <alignment horizontal="center"/>
      <protection locked="0"/>
    </xf>
    <xf numFmtId="0" fontId="10" fillId="0" borderId="64" xfId="2" applyBorder="1" applyAlignment="1" applyProtection="1">
      <alignment horizontal="center"/>
      <protection locked="0"/>
    </xf>
    <xf numFmtId="0" fontId="39" fillId="0" borderId="59" xfId="2" applyFont="1" applyBorder="1" applyAlignment="1">
      <alignment horizontal="center"/>
    </xf>
    <xf numFmtId="0" fontId="39" fillId="0" borderId="60" xfId="2" applyFont="1" applyBorder="1" applyAlignment="1">
      <alignment horizontal="center"/>
    </xf>
    <xf numFmtId="0" fontId="10" fillId="0" borderId="60" xfId="2" applyBorder="1" applyAlignment="1" applyProtection="1">
      <alignment horizontal="center"/>
      <protection locked="0"/>
    </xf>
    <xf numFmtId="0" fontId="10" fillId="0" borderId="61" xfId="2" applyBorder="1" applyAlignment="1" applyProtection="1">
      <alignment horizontal="center"/>
      <protection locked="0"/>
    </xf>
    <xf numFmtId="0" fontId="10" fillId="0" borderId="77" xfId="2" applyBorder="1" applyAlignment="1" applyProtection="1">
      <alignment horizontal="center"/>
      <protection locked="0"/>
    </xf>
    <xf numFmtId="0" fontId="10" fillId="0" borderId="78" xfId="2" applyBorder="1" applyAlignment="1" applyProtection="1">
      <alignment horizontal="center"/>
      <protection locked="0"/>
    </xf>
    <xf numFmtId="7" fontId="0" fillId="0" borderId="60" xfId="3" applyNumberFormat="1" applyFont="1" applyBorder="1" applyAlignment="1">
      <alignment horizontal="center"/>
    </xf>
    <xf numFmtId="7" fontId="0" fillId="0" borderId="61" xfId="3" applyNumberFormat="1" applyFont="1" applyBorder="1" applyAlignment="1">
      <alignment horizontal="center"/>
    </xf>
    <xf numFmtId="0" fontId="16" fillId="0" borderId="11" xfId="2" applyFont="1" applyBorder="1" applyAlignment="1">
      <alignment horizontal="right"/>
    </xf>
    <xf numFmtId="0" fontId="16" fillId="0" borderId="0" xfId="2" applyFont="1" applyAlignment="1">
      <alignment horizontal="right"/>
    </xf>
    <xf numFmtId="0" fontId="10" fillId="0" borderId="63" xfId="2" applyBorder="1" applyAlignment="1">
      <alignment horizontal="center"/>
    </xf>
    <xf numFmtId="0" fontId="10" fillId="0" borderId="64" xfId="2" applyBorder="1" applyAlignment="1">
      <alignment horizontal="center"/>
    </xf>
    <xf numFmtId="0" fontId="13" fillId="0" borderId="65" xfId="2" applyFont="1" applyBorder="1" applyAlignment="1">
      <alignment horizontal="center"/>
    </xf>
    <xf numFmtId="0" fontId="13" fillId="0" borderId="66" xfId="2" applyFont="1" applyBorder="1" applyAlignment="1">
      <alignment horizontal="center"/>
    </xf>
    <xf numFmtId="0" fontId="13" fillId="0" borderId="67" xfId="2" applyFont="1" applyBorder="1" applyAlignment="1">
      <alignment horizontal="center"/>
    </xf>
    <xf numFmtId="0" fontId="14" fillId="0" borderId="0" xfId="2" applyFont="1" applyAlignment="1">
      <alignment horizontal="right"/>
    </xf>
    <xf numFmtId="0" fontId="47" fillId="0" borderId="119" xfId="2" applyFont="1" applyBorder="1" applyAlignment="1">
      <alignment horizontal="center" vertical="center" wrapText="1"/>
    </xf>
    <xf numFmtId="0" fontId="47" fillId="0" borderId="0" xfId="2" applyFont="1" applyAlignment="1">
      <alignment horizontal="center" vertical="center" wrapText="1"/>
    </xf>
    <xf numFmtId="167" fontId="26" fillId="0" borderId="76" xfId="2" applyNumberFormat="1" applyFont="1" applyBorder="1" applyAlignment="1" applyProtection="1">
      <alignment horizontal="center" vertical="center"/>
      <protection locked="0"/>
    </xf>
    <xf numFmtId="0" fontId="22" fillId="0" borderId="0" xfId="2" applyFont="1" applyAlignment="1" applyProtection="1">
      <alignment horizontal="center" vertical="top" wrapText="1"/>
      <protection locked="0"/>
    </xf>
    <xf numFmtId="0" fontId="27" fillId="0" borderId="0" xfId="2" applyFont="1" applyAlignment="1">
      <alignment horizontal="center"/>
    </xf>
    <xf numFmtId="0" fontId="26" fillId="0" borderId="0" xfId="2" applyFont="1" applyAlignment="1" applyProtection="1">
      <alignment horizontal="center" vertical="top" wrapText="1"/>
      <protection locked="0"/>
    </xf>
    <xf numFmtId="0" fontId="26" fillId="0" borderId="0" xfId="2" applyFont="1" applyAlignment="1" applyProtection="1">
      <alignment horizontal="left" vertical="top" wrapText="1" indent="1"/>
      <protection locked="0"/>
    </xf>
    <xf numFmtId="0" fontId="25" fillId="11" borderId="76" xfId="2" applyFont="1" applyFill="1" applyBorder="1" applyAlignment="1" applyProtection="1">
      <alignment horizontal="center" vertical="center"/>
      <protection locked="0"/>
    </xf>
    <xf numFmtId="0" fontId="22" fillId="0" borderId="0" xfId="2" applyFont="1" applyAlignment="1">
      <alignment horizontal="left" indent="1"/>
    </xf>
    <xf numFmtId="0" fontId="23" fillId="0" borderId="75" xfId="2" applyFont="1" applyBorder="1" applyAlignment="1" applyProtection="1">
      <alignment horizontal="left" vertical="center" wrapText="1" indent="2"/>
      <protection locked="0"/>
    </xf>
    <xf numFmtId="0" fontId="23" fillId="0" borderId="0" xfId="2" applyFont="1" applyAlignment="1" applyProtection="1">
      <alignment horizontal="left" vertical="center" wrapText="1" indent="2"/>
      <protection locked="0"/>
    </xf>
    <xf numFmtId="0" fontId="23" fillId="0" borderId="41" xfId="2" applyFont="1" applyBorder="1" applyAlignment="1" applyProtection="1">
      <alignment horizontal="left" vertical="center" wrapText="1" indent="2"/>
      <protection locked="0"/>
    </xf>
    <xf numFmtId="0" fontId="24" fillId="0" borderId="0" xfId="2" applyFont="1" applyAlignment="1">
      <alignment horizontal="center"/>
    </xf>
    <xf numFmtId="0" fontId="23" fillId="0" borderId="0" xfId="2" applyFont="1" applyAlignment="1">
      <alignment horizontal="right" indent="1"/>
    </xf>
    <xf numFmtId="0" fontId="23" fillId="0" borderId="0" xfId="2" applyFont="1" applyAlignment="1" applyProtection="1">
      <alignment horizontal="left" indent="1"/>
      <protection locked="0"/>
    </xf>
    <xf numFmtId="175" fontId="31" fillId="0" borderId="0" xfId="2" applyNumberFormat="1" applyFont="1" applyAlignment="1">
      <alignment horizontal="left" indent="1"/>
    </xf>
    <xf numFmtId="0" fontId="23" fillId="0" borderId="75" xfId="2" applyFont="1" applyBorder="1" applyAlignment="1">
      <alignment horizontal="right" indent="1"/>
    </xf>
    <xf numFmtId="0" fontId="23" fillId="17" borderId="0" xfId="2" applyFont="1" applyFill="1" applyAlignment="1" applyProtection="1">
      <alignment horizontal="left" indent="1"/>
      <protection locked="0"/>
    </xf>
    <xf numFmtId="0" fontId="10" fillId="0" borderId="88" xfId="2" applyBorder="1" applyAlignment="1">
      <alignment horizontal="center" vertical="center"/>
    </xf>
    <xf numFmtId="0" fontId="10" fillId="0" borderId="89" xfId="2" applyBorder="1" applyAlignment="1">
      <alignment horizontal="center" vertical="center"/>
    </xf>
    <xf numFmtId="0" fontId="18" fillId="0" borderId="12" xfId="2" applyFont="1" applyBorder="1" applyAlignment="1">
      <alignment horizontal="right" vertical="center"/>
    </xf>
    <xf numFmtId="0" fontId="18" fillId="0" borderId="5" xfId="2" applyFont="1" applyBorder="1" applyAlignment="1">
      <alignment horizontal="right" vertical="center"/>
    </xf>
    <xf numFmtId="0" fontId="18" fillId="0" borderId="91" xfId="2" applyFont="1" applyBorder="1" applyAlignment="1">
      <alignment horizontal="right" vertical="center"/>
    </xf>
    <xf numFmtId="0" fontId="18" fillId="0" borderId="92" xfId="2" applyFont="1" applyBorder="1" applyAlignment="1">
      <alignment horizontal="right" vertical="center"/>
    </xf>
    <xf numFmtId="0" fontId="18" fillId="0" borderId="94" xfId="2" applyFont="1" applyBorder="1" applyAlignment="1">
      <alignment horizontal="center" vertical="center"/>
    </xf>
  </cellXfs>
  <cellStyles count="9">
    <cellStyle name="Comma" xfId="6" builtinId="3"/>
    <cellStyle name="Currency" xfId="8" builtinId="4"/>
    <cellStyle name="Currency 2" xfId="3" xr:uid="{00000000-0005-0000-0000-000002000000}"/>
    <cellStyle name="Hyperlink" xfId="7" builtinId="8"/>
    <cellStyle name="Hyperlink 2" xfId="4" xr:uid="{00000000-0005-0000-0000-000004000000}"/>
    <cellStyle name="Normal" xfId="0" builtinId="0"/>
    <cellStyle name="Normal 2" xfId="2" xr:uid="{00000000-0005-0000-0000-000006000000}"/>
    <cellStyle name="Percent" xfId="1" builtinId="5"/>
    <cellStyle name="Percent 2" xfId="5" xr:uid="{00000000-0005-0000-0000-000008000000}"/>
  </cellStyles>
  <dxfs count="19">
    <dxf>
      <fill>
        <patternFill>
          <bgColor rgb="FFFFFF99"/>
        </patternFill>
      </fill>
    </dxf>
    <dxf>
      <fill>
        <patternFill>
          <bgColor rgb="FFFF9999"/>
        </patternFill>
      </fill>
    </dxf>
    <dxf>
      <fill>
        <patternFill>
          <bgColor rgb="FFFFFF99"/>
        </patternFill>
      </fill>
    </dxf>
    <dxf>
      <fill>
        <patternFill>
          <bgColor rgb="FFFF7C80"/>
        </patternFill>
      </fill>
    </dxf>
    <dxf>
      <fill>
        <patternFill>
          <bgColor rgb="FFFFFF99"/>
        </patternFill>
      </fill>
    </dxf>
    <dxf>
      <fill>
        <patternFill>
          <bgColor rgb="FFFF9999"/>
        </patternFill>
      </fill>
    </dxf>
    <dxf>
      <fill>
        <patternFill>
          <bgColor rgb="FFFFFF99"/>
        </patternFill>
      </fill>
    </dxf>
    <dxf>
      <fill>
        <patternFill>
          <bgColor rgb="FFFF9999"/>
        </patternFill>
      </fill>
    </dxf>
    <dxf>
      <fill>
        <patternFill>
          <bgColor rgb="FFFFFF99"/>
        </patternFill>
      </fill>
    </dxf>
    <dxf>
      <fill>
        <patternFill>
          <bgColor rgb="FFFF9999"/>
        </patternFill>
      </fill>
    </dxf>
    <dxf>
      <fill>
        <patternFill>
          <bgColor rgb="FF99FF66"/>
        </patternFill>
      </fill>
    </dxf>
    <dxf>
      <fill>
        <patternFill>
          <bgColor rgb="FF99FF66"/>
        </patternFill>
      </fill>
    </dxf>
    <dxf>
      <fill>
        <patternFill>
          <bgColor rgb="FF99FF66"/>
        </patternFill>
      </fill>
    </dxf>
    <dxf>
      <fill>
        <patternFill>
          <bgColor rgb="FF99FF66"/>
        </patternFill>
      </fill>
    </dxf>
    <dxf>
      <fill>
        <patternFill>
          <bgColor rgb="FF99FF66"/>
        </patternFill>
      </fill>
    </dxf>
    <dxf>
      <fill>
        <patternFill>
          <bgColor rgb="FF99FF66"/>
        </patternFill>
      </fill>
    </dxf>
    <dxf>
      <fill>
        <patternFill>
          <bgColor rgb="FF99FF66"/>
        </patternFill>
      </fill>
    </dxf>
    <dxf>
      <font>
        <color theme="0"/>
      </font>
    </dxf>
    <dxf>
      <font>
        <color theme="0"/>
      </font>
    </dxf>
  </dxfs>
  <tableStyles count="0" defaultTableStyle="TableStyleMedium9" defaultPivotStyle="PivotStyleLight16"/>
  <colors>
    <mruColors>
      <color rgb="FF99FF66"/>
      <color rgb="FF00FF00"/>
      <color rgb="FF66FF66"/>
      <color rgb="FF66FF33"/>
      <color rgb="FFFFFFCC"/>
      <color rgb="FF33CCCC"/>
      <color rgb="FFD5DC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8BD21D10-EC42-11CE-9E0D-00AA006002F3}" ax:persistence="persistStreamInit" r:id="rId1"/>
</file>

<file path=xl/activeX/activeX92.xml><?xml version="1.0" encoding="utf-8"?>
<ax:ocx xmlns:ax="http://schemas.microsoft.com/office/2006/activeX" xmlns:r="http://schemas.openxmlformats.org/officeDocument/2006/relationships" ax:classid="{978C9E23-D4B0-11CE-BF2D-00AA003F40D0}" ax:persistence="persistStreamInit" r:id="rId1"/>
</file>

<file path=xl/activeX/activeX93.xml><?xml version="1.0" encoding="utf-8"?>
<ax:ocx xmlns:ax="http://schemas.microsoft.com/office/2006/activeX" xmlns:r="http://schemas.openxmlformats.org/officeDocument/2006/relationships" ax:classid="{8BD21D10-EC42-11CE-9E0D-00AA006002F3}" ax:persistence="persistStreamInit" r:id="rId1"/>
</file>

<file path=xl/activeX/activeX94.xml><?xml version="1.0" encoding="utf-8"?>
<ax:ocx xmlns:ax="http://schemas.microsoft.com/office/2006/activeX" xmlns:r="http://schemas.openxmlformats.org/officeDocument/2006/relationships" ax:classid="{978C9E23-D4B0-11CE-BF2D-00AA003F40D0}"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8BD21D4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8BD21D10-EC42-11CE-9E0D-00AA006002F3}" ax:persistence="persistStreamInit" r:id="rId1"/>
</file>

<file path=xl/activeX/activeX134.xml><?xml version="1.0" encoding="utf-8"?>
<ax:ocx xmlns:ax="http://schemas.microsoft.com/office/2006/activeX" xmlns:r="http://schemas.openxmlformats.org/officeDocument/2006/relationships" ax:classid="{8BD21D40-EC42-11CE-9E0D-00AA006002F3}" ax:persistence="persistStreamInit" r:id="rId1"/>
</file>

<file path=xl/activeX/activeX135.xml><?xml version="1.0" encoding="utf-8"?>
<ax:ocx xmlns:ax="http://schemas.microsoft.com/office/2006/activeX" xmlns:r="http://schemas.openxmlformats.org/officeDocument/2006/relationships" ax:classid="{8BD21D10-EC42-11CE-9E0D-00AA006002F3}" ax:persistence="persistStreamInit" r:id="rId1"/>
</file>

<file path=xl/activeX/activeX136.xml><?xml version="1.0" encoding="utf-8"?>
<ax:ocx xmlns:ax="http://schemas.microsoft.com/office/2006/activeX" xmlns:r="http://schemas.openxmlformats.org/officeDocument/2006/relationships" ax:classid="{8BD21D10-EC42-11CE-9E0D-00AA006002F3}" ax:persistence="persistStreamInit" r:id="rId1"/>
</file>

<file path=xl/activeX/activeX137.xml><?xml version="1.0" encoding="utf-8"?>
<ax:ocx xmlns:ax="http://schemas.microsoft.com/office/2006/activeX" xmlns:r="http://schemas.openxmlformats.org/officeDocument/2006/relationships" ax:classid="{8BD21D10-EC42-11CE-9E0D-00AA006002F3}" ax:persistence="persistStreamInit" r:id="rId1"/>
</file>

<file path=xl/activeX/activeX138.xml><?xml version="1.0" encoding="utf-8"?>
<ax:ocx xmlns:ax="http://schemas.microsoft.com/office/2006/activeX" xmlns:r="http://schemas.openxmlformats.org/officeDocument/2006/relationships" ax:classid="{8BD21D10-EC42-11CE-9E0D-00AA006002F3}" ax:persistence="persistStreamInit" r:id="rId1"/>
</file>

<file path=xl/activeX/activeX139.xml><?xml version="1.0" encoding="utf-8"?>
<ax:ocx xmlns:ax="http://schemas.microsoft.com/office/2006/activeX" xmlns:r="http://schemas.openxmlformats.org/officeDocument/2006/relationships" ax:classid="{978C9E23-D4B0-11CE-BF2D-00AA003F40D0}" ax:persistence="persistStreamInit" r:id="rId1"/>
</file>

<file path=xl/activeX/activeX140.xml><?xml version="1.0" encoding="utf-8"?>
<ax:ocx xmlns:ax="http://schemas.microsoft.com/office/2006/activeX" xmlns:r="http://schemas.openxmlformats.org/officeDocument/2006/relationships" ax:classid="{8BD21D10-EC42-11CE-9E0D-00AA006002F3}" ax:persistence="persistStreamInit" r:id="rId1"/>
</file>

<file path=xl/activeX/activeX141.xml><?xml version="1.0" encoding="utf-8"?>
<ax:ocx xmlns:ax="http://schemas.microsoft.com/office/2006/activeX" xmlns:r="http://schemas.openxmlformats.org/officeDocument/2006/relationships" ax:classid="{8BD21D10-EC42-11CE-9E0D-00AA006002F3}" ax:persistence="persistStreamInit" r:id="rId1"/>
</file>

<file path=xl/activeX/activeX142.xml><?xml version="1.0" encoding="utf-8"?>
<ax:ocx xmlns:ax="http://schemas.microsoft.com/office/2006/activeX" xmlns:r="http://schemas.openxmlformats.org/officeDocument/2006/relationships" ax:classid="{978C9E23-D4B0-11CE-BF2D-00AA003F40D0}" ax:persistence="persistStreamInit" r:id="rId1"/>
</file>

<file path=xl/activeX/activeX143.xml><?xml version="1.0" encoding="utf-8"?>
<ax:ocx xmlns:ax="http://schemas.microsoft.com/office/2006/activeX" xmlns:r="http://schemas.openxmlformats.org/officeDocument/2006/relationships" ax:classid="{978C9E23-D4B0-11CE-BF2D-00AA003F40D0}" ax:persistence="persistStreamInit" r:id="rId1"/>
</file>

<file path=xl/activeX/activeX144.xml><?xml version="1.0" encoding="utf-8"?>
<ax:ocx xmlns:ax="http://schemas.microsoft.com/office/2006/activeX" xmlns:r="http://schemas.openxmlformats.org/officeDocument/2006/relationships" ax:classid="{8BD21D10-EC42-11CE-9E0D-00AA006002F3}" ax:persistence="persistStreamInit" r:id="rId1"/>
</file>

<file path=xl/activeX/activeX145.xml><?xml version="1.0" encoding="utf-8"?>
<ax:ocx xmlns:ax="http://schemas.microsoft.com/office/2006/activeX" xmlns:r="http://schemas.openxmlformats.org/officeDocument/2006/relationships" ax:classid="{8BD21D10-EC42-11CE-9E0D-00AA006002F3}" ax:persistence="persistStreamInit" r:id="rId1"/>
</file>

<file path=xl/activeX/activeX146.xml><?xml version="1.0" encoding="utf-8"?>
<ax:ocx xmlns:ax="http://schemas.microsoft.com/office/2006/activeX" xmlns:r="http://schemas.openxmlformats.org/officeDocument/2006/relationships" ax:classid="{978C9E23-D4B0-11CE-BF2D-00AA003F40D0}" ax:persistence="persistStreamInit" r:id="rId1"/>
</file>

<file path=xl/activeX/activeX147.xml><?xml version="1.0" encoding="utf-8"?>
<ax:ocx xmlns:ax="http://schemas.microsoft.com/office/2006/activeX" xmlns:r="http://schemas.openxmlformats.org/officeDocument/2006/relationships" ax:classid="{8BD21D10-EC42-11CE-9E0D-00AA006002F3}" ax:persistence="persistStreamInit" r:id="rId1"/>
</file>

<file path=xl/activeX/activeX148.xml><?xml version="1.0" encoding="utf-8"?>
<ax:ocx xmlns:ax="http://schemas.microsoft.com/office/2006/activeX" xmlns:r="http://schemas.openxmlformats.org/officeDocument/2006/relationships" ax:classid="{978C9E23-D4B0-11CE-BF2D-00AA003F40D0}" ax:persistence="persistStreamInit" r:id="rId1"/>
</file>

<file path=xl/activeX/activeX149.xml><?xml version="1.0" encoding="utf-8"?>
<ax:ocx xmlns:ax="http://schemas.microsoft.com/office/2006/activeX" xmlns:r="http://schemas.openxmlformats.org/officeDocument/2006/relationships" ax:classid="{978C9E23-D4B0-11CE-BF2D-00AA003F40D0}" ax:persistence="persistStreamInit" r:id="rId1"/>
</file>

<file path=xl/activeX/activeX150.xml><?xml version="1.0" encoding="utf-8"?>
<ax:ocx xmlns:ax="http://schemas.microsoft.com/office/2006/activeX" xmlns:r="http://schemas.openxmlformats.org/officeDocument/2006/relationships" ax:classid="{8BD21D10-EC42-11CE-9E0D-00AA006002F3}" ax:persistence="persistStreamInit" r:id="rId1"/>
</file>

<file path=xl/activeX/activeX151.xml><?xml version="1.0" encoding="utf-8"?>
<ax:ocx xmlns:ax="http://schemas.microsoft.com/office/2006/activeX" xmlns:r="http://schemas.openxmlformats.org/officeDocument/2006/relationships" ax:classid="{978C9E23-D4B0-11CE-BF2D-00AA003F40D0}" ax:persistence="persistStreamInit" r:id="rId1"/>
</file>

<file path=xl/activeX/activeX152.xml><?xml version="1.0" encoding="utf-8"?>
<ax:ocx xmlns:ax="http://schemas.microsoft.com/office/2006/activeX" xmlns:r="http://schemas.openxmlformats.org/officeDocument/2006/relationships" ax:classid="{8BD21D10-EC42-11CE-9E0D-00AA006002F3}" ax:persistence="persistStreamInit" r:id="rId1"/>
</file>

<file path=xl/activeX/activeX153.xml><?xml version="1.0" encoding="utf-8"?>
<ax:ocx xmlns:ax="http://schemas.microsoft.com/office/2006/activeX" xmlns:r="http://schemas.openxmlformats.org/officeDocument/2006/relationships" ax:classid="{978C9E23-D4B0-11CE-BF2D-00AA003F40D0}" ax:persistence="persistStreamInit" r:id="rId1"/>
</file>

<file path=xl/activeX/activeX154.xml><?xml version="1.0" encoding="utf-8"?>
<ax:ocx xmlns:ax="http://schemas.microsoft.com/office/2006/activeX" xmlns:r="http://schemas.openxmlformats.org/officeDocument/2006/relationships" ax:classid="{8BD21D10-EC42-11CE-9E0D-00AA006002F3}" ax:persistence="persistStreamInit" r:id="rId1"/>
</file>

<file path=xl/activeX/activeX155.xml><?xml version="1.0" encoding="utf-8"?>
<ax:ocx xmlns:ax="http://schemas.microsoft.com/office/2006/activeX" xmlns:r="http://schemas.openxmlformats.org/officeDocument/2006/relationships" ax:classid="{8BD21D10-EC42-11CE-9E0D-00AA006002F3}" ax:persistence="persistStreamInit" r:id="rId1"/>
</file>

<file path=xl/activeX/activeX156.xml><?xml version="1.0" encoding="utf-8"?>
<ax:ocx xmlns:ax="http://schemas.microsoft.com/office/2006/activeX" xmlns:r="http://schemas.openxmlformats.org/officeDocument/2006/relationships" ax:classid="{978C9E23-D4B0-11CE-BF2D-00AA003F40D0}" ax:persistence="persistStreamInit" r:id="rId1"/>
</file>

<file path=xl/activeX/activeX157.xml><?xml version="1.0" encoding="utf-8"?>
<ax:ocx xmlns:ax="http://schemas.microsoft.com/office/2006/activeX" xmlns:r="http://schemas.openxmlformats.org/officeDocument/2006/relationships" ax:classid="{8BD21D10-EC42-11CE-9E0D-00AA006002F3}" ax:persistence="persistStreamInit" r:id="rId1"/>
</file>

<file path=xl/activeX/activeX158.xml><?xml version="1.0" encoding="utf-8"?>
<ax:ocx xmlns:ax="http://schemas.microsoft.com/office/2006/activeX" xmlns:r="http://schemas.openxmlformats.org/officeDocument/2006/relationships" ax:classid="{8BD21D10-EC42-11CE-9E0D-00AA006002F3}" ax:persistence="persistStreamInit" r:id="rId1"/>
</file>

<file path=xl/activeX/activeX159.xml><?xml version="1.0" encoding="utf-8"?>
<ax:ocx xmlns:ax="http://schemas.microsoft.com/office/2006/activeX" xmlns:r="http://schemas.openxmlformats.org/officeDocument/2006/relationships" ax:classid="{978C9E23-D4B0-11CE-BF2D-00AA003F40D0}" ax:persistence="persistStreamInit" r:id="rId1"/>
</file>

<file path=xl/activeX/activeX160.xml><?xml version="1.0" encoding="utf-8"?>
<ax:ocx xmlns:ax="http://schemas.microsoft.com/office/2006/activeX" xmlns:r="http://schemas.openxmlformats.org/officeDocument/2006/relationships" ax:classid="{8BD21D10-EC42-11CE-9E0D-00AA006002F3}" ax:persistence="persistStreamInit" r:id="rId1"/>
</file>

<file path=xl/activeX/activeX161.xml><?xml version="1.0" encoding="utf-8"?>
<ax:ocx xmlns:ax="http://schemas.microsoft.com/office/2006/activeX" xmlns:r="http://schemas.openxmlformats.org/officeDocument/2006/relationships" ax:classid="{978C9E23-D4B0-11CE-BF2D-00AA003F40D0}" ax:persistence="persistStreamInit" r:id="rId1"/>
</file>

<file path=xl/activeX/activeX162.xml><?xml version="1.0" encoding="utf-8"?>
<ax:ocx xmlns:ax="http://schemas.microsoft.com/office/2006/activeX" xmlns:r="http://schemas.openxmlformats.org/officeDocument/2006/relationships" ax:classid="{8BD21D10-EC42-11CE-9E0D-00AA006002F3}" ax:persistence="persistStreamInit" r:id="rId1"/>
</file>

<file path=xl/activeX/activeX163.xml><?xml version="1.0" encoding="utf-8"?>
<ax:ocx xmlns:ax="http://schemas.microsoft.com/office/2006/activeX" xmlns:r="http://schemas.openxmlformats.org/officeDocument/2006/relationships" ax:classid="{978C9E23-D4B0-11CE-BF2D-00AA003F40D0}" ax:persistence="persistStreamInit" r:id="rId1"/>
</file>

<file path=xl/activeX/activeX164.xml><?xml version="1.0" encoding="utf-8"?>
<ax:ocx xmlns:ax="http://schemas.microsoft.com/office/2006/activeX" xmlns:r="http://schemas.openxmlformats.org/officeDocument/2006/relationships" ax:classid="{8BD21D10-EC42-11CE-9E0D-00AA006002F3}" ax:persistence="persistStreamInit" r:id="rId1"/>
</file>

<file path=xl/activeX/activeX165.xml><?xml version="1.0" encoding="utf-8"?>
<ax:ocx xmlns:ax="http://schemas.microsoft.com/office/2006/activeX" xmlns:r="http://schemas.openxmlformats.org/officeDocument/2006/relationships" ax:classid="{978C9E23-D4B0-11CE-BF2D-00AA003F40D0}" ax:persistence="persistStreamInit" r:id="rId1"/>
</file>

<file path=xl/activeX/activeX166.xml><?xml version="1.0" encoding="utf-8"?>
<ax:ocx xmlns:ax="http://schemas.microsoft.com/office/2006/activeX" xmlns:r="http://schemas.openxmlformats.org/officeDocument/2006/relationships" ax:classid="{8BD21D10-EC42-11CE-9E0D-00AA006002F3}" ax:persistence="persistStreamInit" r:id="rId1"/>
</file>

<file path=xl/activeX/activeX167.xml><?xml version="1.0" encoding="utf-8"?>
<ax:ocx xmlns:ax="http://schemas.microsoft.com/office/2006/activeX" xmlns:r="http://schemas.openxmlformats.org/officeDocument/2006/relationships" ax:classid="{978C9E23-D4B0-11CE-BF2D-00AA003F40D0}" ax:persistence="persistStreamInit" r:id="rId1"/>
</file>

<file path=xl/activeX/activeX168.xml><?xml version="1.0" encoding="utf-8"?>
<ax:ocx xmlns:ax="http://schemas.microsoft.com/office/2006/activeX" xmlns:r="http://schemas.openxmlformats.org/officeDocument/2006/relationships" ax:classid="{8BD21D10-EC42-11CE-9E0D-00AA006002F3}" ax:persistence="persistStreamInit" r:id="rId1"/>
</file>

<file path=xl/activeX/activeX169.xml><?xml version="1.0" encoding="utf-8"?>
<ax:ocx xmlns:ax="http://schemas.microsoft.com/office/2006/activeX" xmlns:r="http://schemas.openxmlformats.org/officeDocument/2006/relationships" ax:classid="{978C9E23-D4B0-11CE-BF2D-00AA003F40D0}" ax:persistence="persistStreamInit" r:id="rId1"/>
</file>

<file path=xl/activeX/activeX170.xml><?xml version="1.0" encoding="utf-8"?>
<ax:ocx xmlns:ax="http://schemas.microsoft.com/office/2006/activeX" xmlns:r="http://schemas.openxmlformats.org/officeDocument/2006/relationships" ax:classid="{8BD21D10-EC42-11CE-9E0D-00AA006002F3}" ax:persistence="persistStreamInit" r:id="rId1"/>
</file>

<file path=xl/activeX/activeX171.xml><?xml version="1.0" encoding="utf-8"?>
<ax:ocx xmlns:ax="http://schemas.microsoft.com/office/2006/activeX" xmlns:r="http://schemas.openxmlformats.org/officeDocument/2006/relationships" ax:classid="{978C9E23-D4B0-11CE-BF2D-00AA003F40D0}"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8BD21D40-EC42-11CE-9E0D-00AA006002F3}" ax:persistence="persistStreamInit" r:id="rId1"/>
</file>

<file path=xl/activeX/activeX174.xml><?xml version="1.0" encoding="utf-8"?>
<ax:ocx xmlns:ax="http://schemas.microsoft.com/office/2006/activeX" xmlns:r="http://schemas.openxmlformats.org/officeDocument/2006/relationships" ax:classid="{8BD21D40-EC42-11CE-9E0D-00AA006002F3}" ax:persistence="persistStreamInit" r:id="rId1"/>
</file>

<file path=xl/activeX/activeX175.xml><?xml version="1.0" encoding="utf-8"?>
<ax:ocx xmlns:ax="http://schemas.microsoft.com/office/2006/activeX" xmlns:r="http://schemas.openxmlformats.org/officeDocument/2006/relationships" ax:classid="{8BD21D40-EC42-11CE-9E0D-00AA006002F3}" ax:persistence="persistStreamInit" r:id="rId1"/>
</file>

<file path=xl/activeX/activeX176.xml><?xml version="1.0" encoding="utf-8"?>
<ax:ocx xmlns:ax="http://schemas.microsoft.com/office/2006/activeX" xmlns:r="http://schemas.openxmlformats.org/officeDocument/2006/relationships" ax:classid="{8BD21D40-EC42-11CE-9E0D-00AA006002F3}" ax:persistence="persistStreamInit" r:id="rId1"/>
</file>

<file path=xl/activeX/activeX177.xml><?xml version="1.0" encoding="utf-8"?>
<ax:ocx xmlns:ax="http://schemas.microsoft.com/office/2006/activeX" xmlns:r="http://schemas.openxmlformats.org/officeDocument/2006/relationships" ax:classid="{8BD21D40-EC42-11CE-9E0D-00AA006002F3}" ax:persistence="persistStreamInit" r:id="rId1"/>
</file>

<file path=xl/activeX/activeX178.xml><?xml version="1.0" encoding="utf-8"?>
<ax:ocx xmlns:ax="http://schemas.microsoft.com/office/2006/activeX" xmlns:r="http://schemas.openxmlformats.org/officeDocument/2006/relationships" ax:classid="{8BD21D40-EC42-11CE-9E0D-00AA006002F3}" ax:persistence="persistStreamInit" r:id="rId1"/>
</file>

<file path=xl/activeX/activeX179.xml><?xml version="1.0" encoding="utf-8"?>
<ax:ocx xmlns:ax="http://schemas.microsoft.com/office/2006/activeX" xmlns:r="http://schemas.openxmlformats.org/officeDocument/2006/relationships" ax:classid="{8BD21D40-EC42-11CE-9E0D-00AA006002F3}" ax:persistence="persistStreamInit" r:id="rId1"/>
</file>

<file path=xl/activeX/activeX180.xml><?xml version="1.0" encoding="utf-8"?>
<ax:ocx xmlns:ax="http://schemas.microsoft.com/office/2006/activeX" xmlns:r="http://schemas.openxmlformats.org/officeDocument/2006/relationships" ax:classid="{8BD21D40-EC42-11CE-9E0D-00AA006002F3}" ax:persistence="persistStreamInit" r:id="rId1"/>
</file>

<file path=xl/activeX/activeX181.xml><?xml version="1.0" encoding="utf-8"?>
<ax:ocx xmlns:ax="http://schemas.microsoft.com/office/2006/activeX" xmlns:r="http://schemas.openxmlformats.org/officeDocument/2006/relationships" ax:classid="{8BD21D40-EC42-11CE-9E0D-00AA006002F3}" ax:persistence="persistStreamInit" r:id="rId1"/>
</file>

<file path=xl/activeX/activeX182.xml><?xml version="1.0" encoding="utf-8"?>
<ax:ocx xmlns:ax="http://schemas.microsoft.com/office/2006/activeX" xmlns:r="http://schemas.openxmlformats.org/officeDocument/2006/relationships" ax:classid="{8BD21D40-EC42-11CE-9E0D-00AA006002F3}" ax:persistence="persistStreamInit" r:id="rId1"/>
</file>

<file path=xl/activeX/activeX183.xml><?xml version="1.0" encoding="utf-8"?>
<ax:ocx xmlns:ax="http://schemas.microsoft.com/office/2006/activeX" xmlns:r="http://schemas.openxmlformats.org/officeDocument/2006/relationships" ax:classid="{8BD21D40-EC42-11CE-9E0D-00AA006002F3}" ax:persistence="persistStreamInit" r:id="rId1"/>
</file>

<file path=xl/activeX/activeX184.xml><?xml version="1.0" encoding="utf-8"?>
<ax:ocx xmlns:ax="http://schemas.microsoft.com/office/2006/activeX" xmlns:r="http://schemas.openxmlformats.org/officeDocument/2006/relationships" ax:classid="{8BD21D40-EC42-11CE-9E0D-00AA006002F3}" ax:persistence="persistStreamInit" r:id="rId1"/>
</file>

<file path=xl/activeX/activeX185.xml><?xml version="1.0" encoding="utf-8"?>
<ax:ocx xmlns:ax="http://schemas.microsoft.com/office/2006/activeX" xmlns:r="http://schemas.openxmlformats.org/officeDocument/2006/relationships" ax:classid="{8BD21D40-EC42-11CE-9E0D-00AA006002F3}" ax:persistence="persistStreamInit" r:id="rId1"/>
</file>

<file path=xl/activeX/activeX186.xml><?xml version="1.0" encoding="utf-8"?>
<ax:ocx xmlns:ax="http://schemas.microsoft.com/office/2006/activeX" xmlns:r="http://schemas.openxmlformats.org/officeDocument/2006/relationships" ax:classid="{8BD21D40-EC42-11CE-9E0D-00AA006002F3}" ax:persistence="persistStreamInit" r:id="rId1"/>
</file>

<file path=xl/activeX/activeX187.xml><?xml version="1.0" encoding="utf-8"?>
<ax:ocx xmlns:ax="http://schemas.microsoft.com/office/2006/activeX" xmlns:r="http://schemas.openxmlformats.org/officeDocument/2006/relationships" ax:classid="{8BD21D40-EC42-11CE-9E0D-00AA006002F3}" ax:persistence="persistStreamInit" r:id="rId1"/>
</file>

<file path=xl/activeX/activeX188.xml><?xml version="1.0" encoding="utf-8"?>
<ax:ocx xmlns:ax="http://schemas.microsoft.com/office/2006/activeX" xmlns:r="http://schemas.openxmlformats.org/officeDocument/2006/relationships" ax:classid="{D7053240-CE69-11CD-A777-00DD01143C57}" ax:persistence="persistStreamInit" r:id="rId1"/>
</file>

<file path=xl/activeX/activeX189.xml><?xml version="1.0" encoding="utf-8"?>
<ax:ocx xmlns:ax="http://schemas.microsoft.com/office/2006/activeX" xmlns:r="http://schemas.openxmlformats.org/officeDocument/2006/relationships" ax:classid="{D7053240-CE69-11CD-A777-00DD01143C57}" ax:persistence="persistStreamInit" r:id="rId1"/>
</file>

<file path=xl/activeX/activeX190.xml><?xml version="1.0" encoding="utf-8"?>
<ax:ocx xmlns:ax="http://schemas.microsoft.com/office/2006/activeX" xmlns:r="http://schemas.openxmlformats.org/officeDocument/2006/relationships" ax:classid="{D7053240-CE69-11CD-A777-00DD01143C57}" ax:persistence="persistStreamInit" r:id="rId1"/>
</file>

<file path=xl/activeX/activeX191.xml><?xml version="1.0" encoding="utf-8"?>
<ax:ocx xmlns:ax="http://schemas.microsoft.com/office/2006/activeX" xmlns:r="http://schemas.openxmlformats.org/officeDocument/2006/relationships" ax:classid="{D7053240-CE69-11CD-A777-00DD01143C57}" ax:persistence="persistStreamInit" r:id="rId1"/>
</file>

<file path=xl/activeX/activeX192.xml><?xml version="1.0" encoding="utf-8"?>
<ax:ocx xmlns:ax="http://schemas.microsoft.com/office/2006/activeX" xmlns:r="http://schemas.openxmlformats.org/officeDocument/2006/relationships" ax:classid="{8BD21D40-EC42-11CE-9E0D-00AA006002F3}" ax:persistence="persistStreamInit" r:id="rId1"/>
</file>

<file path=xl/activeX/activeX193.xml><?xml version="1.0" encoding="utf-8"?>
<ax:ocx xmlns:ax="http://schemas.microsoft.com/office/2006/activeX" xmlns:r="http://schemas.openxmlformats.org/officeDocument/2006/relationships" ax:classid="{8BD21D40-EC42-11CE-9E0D-00AA006002F3}" ax:persistence="persistStreamInit" r:id="rId1"/>
</file>

<file path=xl/activeX/activeX194.xml><?xml version="1.0" encoding="utf-8"?>
<ax:ocx xmlns:ax="http://schemas.microsoft.com/office/2006/activeX" xmlns:r="http://schemas.openxmlformats.org/officeDocument/2006/relationships" ax:classid="{D7053240-CE69-11CD-A777-00DD01143C57}" ax:persistence="persistStreamInit" r:id="rId1"/>
</file>

<file path=xl/activeX/activeX195.xml><?xml version="1.0" encoding="utf-8"?>
<ax:ocx xmlns:ax="http://schemas.microsoft.com/office/2006/activeX" xmlns:r="http://schemas.openxmlformats.org/officeDocument/2006/relationships" ax:classid="{D7053240-CE69-11CD-A777-00DD01143C57}" ax:persistence="persistStreamInit" r:id="rId1"/>
</file>

<file path=xl/activeX/activeX196.xml><?xml version="1.0" encoding="utf-8"?>
<ax:ocx xmlns:ax="http://schemas.microsoft.com/office/2006/activeX" xmlns:r="http://schemas.openxmlformats.org/officeDocument/2006/relationships" ax:classid="{D7053240-CE69-11CD-A777-00DD01143C57}" ax:persistence="persistStreamInit" r:id="rId1"/>
</file>

<file path=xl/activeX/activeX197.xml><?xml version="1.0" encoding="utf-8"?>
<ax:ocx xmlns:ax="http://schemas.microsoft.com/office/2006/activeX" xmlns:r="http://schemas.openxmlformats.org/officeDocument/2006/relationships" ax:classid="{D7053240-CE69-11CD-A777-00DD01143C57}" ax:persistence="persistStreamInit" r:id="rId1"/>
</file>

<file path=xl/activeX/activeX198.xml><?xml version="1.0" encoding="utf-8"?>
<ax:ocx xmlns:ax="http://schemas.microsoft.com/office/2006/activeX" xmlns:r="http://schemas.openxmlformats.org/officeDocument/2006/relationships" ax:classid="{D7053240-CE69-11CD-A777-00DD01143C57}" ax:persistence="persistStreamInit" r:id="rId1"/>
</file>

<file path=xl/activeX/activeX199.xml><?xml version="1.0" encoding="utf-8"?>
<ax:ocx xmlns:ax="http://schemas.microsoft.com/office/2006/activeX" xmlns:r="http://schemas.openxmlformats.org/officeDocument/2006/relationships" ax:classid="{D7053240-CE69-11CD-A777-00DD01143C57}" ax:persistence="persistStreamInit" r:id="rId1"/>
</file>

<file path=xl/activeX/activeX200.xml><?xml version="1.0" encoding="utf-8"?>
<ax:ocx xmlns:ax="http://schemas.microsoft.com/office/2006/activeX" xmlns:r="http://schemas.openxmlformats.org/officeDocument/2006/relationships" ax:classid="{D7053240-CE69-11CD-A777-00DD01143C57}" ax:persistence="persistStreamInit" r:id="rId1"/>
</file>

<file path=xl/activeX/activeX201.xml><?xml version="1.0" encoding="utf-8"?>
<ax:ocx xmlns:ax="http://schemas.microsoft.com/office/2006/activeX" xmlns:r="http://schemas.openxmlformats.org/officeDocument/2006/relationships" ax:classid="{D7053240-CE69-11CD-A777-00DD01143C57}" ax:persistence="persistStreamInit" r:id="rId1"/>
</file>

<file path=xl/activeX/activeX202.xml><?xml version="1.0" encoding="utf-8"?>
<ax:ocx xmlns:ax="http://schemas.microsoft.com/office/2006/activeX" xmlns:r="http://schemas.openxmlformats.org/officeDocument/2006/relationships" ax:classid="{D7053240-CE69-11CD-A777-00DD01143C57}" ax:persistence="persistStreamInit" r:id="rId1"/>
</file>

<file path=xl/activeX/activeX203.xml><?xml version="1.0" encoding="utf-8"?>
<ax:ocx xmlns:ax="http://schemas.microsoft.com/office/2006/activeX" xmlns:r="http://schemas.openxmlformats.org/officeDocument/2006/relationships" ax:classid="{D7053240-CE69-11CD-A777-00DD01143C57}" ax:persistence="persistStreamInit" r:id="rId1"/>
</file>

<file path=xl/activeX/activeX204.xml><?xml version="1.0" encoding="utf-8"?>
<ax:ocx xmlns:ax="http://schemas.microsoft.com/office/2006/activeX" xmlns:r="http://schemas.openxmlformats.org/officeDocument/2006/relationships" ax:classid="{D7053240-CE69-11CD-A777-00DD01143C57}" ax:persistence="persistStreamInit" r:id="rId1"/>
</file>

<file path=xl/activeX/activeX205.xml><?xml version="1.0" encoding="utf-8"?>
<ax:ocx xmlns:ax="http://schemas.microsoft.com/office/2006/activeX" xmlns:r="http://schemas.openxmlformats.org/officeDocument/2006/relationships" ax:classid="{D7053240-CE69-11CD-A777-00DD01143C57}" ax:persistence="persistStreamInit" r:id="rId1"/>
</file>

<file path=xl/activeX/activeX206.xml><?xml version="1.0" encoding="utf-8"?>
<ax:ocx xmlns:ax="http://schemas.microsoft.com/office/2006/activeX" xmlns:r="http://schemas.openxmlformats.org/officeDocument/2006/relationships" ax:classid="{D7053240-CE69-11CD-A777-00DD01143C57}" ax:persistence="persistStreamInit" r:id="rId1"/>
</file>

<file path=xl/activeX/activeX207.xml><?xml version="1.0" encoding="utf-8"?>
<ax:ocx xmlns:ax="http://schemas.microsoft.com/office/2006/activeX" xmlns:r="http://schemas.openxmlformats.org/officeDocument/2006/relationships" ax:classid="{D7053240-CE69-11CD-A777-00DD01143C57}" ax:persistence="persistStreamInit" r:id="rId1"/>
</file>

<file path=xl/activeX/activeX208.xml><?xml version="1.0" encoding="utf-8"?>
<ax:ocx xmlns:ax="http://schemas.microsoft.com/office/2006/activeX" xmlns:r="http://schemas.openxmlformats.org/officeDocument/2006/relationships" ax:classid="{D7053240-CE69-11CD-A777-00DD01143C57}" ax:persistence="persistStreamInit" r:id="rId1"/>
</file>

<file path=xl/activeX/activeX20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Drop" dropLines="16" dropStyle="combo" dx="15" fmlaLink="$B$20" fmlaRange="Sheet2!$C$10:$C$24" sel="6" val="0"/>
</file>

<file path=xl/ctrlProps/ctrlProp2.xml><?xml version="1.0" encoding="utf-8"?>
<formControlPr xmlns="http://schemas.microsoft.com/office/spreadsheetml/2009/9/main" objectType="Drop" dropStyle="combo" dx="15" fmlaLink="$B$21" fmlaRange="Sheet2!$D$10:$D$13" sel="1" val="0"/>
</file>

<file path=xl/ctrlProps/ctrlProp3.xml><?xml version="1.0" encoding="utf-8"?>
<formControlPr xmlns="http://schemas.microsoft.com/office/spreadsheetml/2009/9/main" objectType="Spin" dx="15" fmlaLink="$B$28" max="30000" page="10" val="2"/>
</file>

<file path=xl/ctrlProps/ctrlProp4.xml><?xml version="1.0" encoding="utf-8"?>
<formControlPr xmlns="http://schemas.microsoft.com/office/spreadsheetml/2009/9/main" objectType="Spin" dx="15" fmlaLink="$B$29" max="30000" page="10" val="0"/>
</file>

<file path=xl/ctrlProps/ctrlProp5.xml><?xml version="1.0" encoding="utf-8"?>
<formControlPr xmlns="http://schemas.microsoft.com/office/spreadsheetml/2009/9/main" objectType="Spin" dx="15" fmlaLink="$B$30" max="30000" page="10" val="0"/>
</file>

<file path=xl/ctrlProps/ctrlProp6.xml><?xml version="1.0" encoding="utf-8"?>
<formControlPr xmlns="http://schemas.microsoft.com/office/spreadsheetml/2009/9/main" objectType="Spin" dx="15" fmlaLink="$B$31" max="30000" page="10" val="0"/>
</file>

<file path=xl/ctrlProps/ctrlProp7.xml><?xml version="1.0" encoding="utf-8"?>
<formControlPr xmlns="http://schemas.microsoft.com/office/spreadsheetml/2009/9/main" objectType="Spin" dx="15" fmlaLink="$B$32" max="30000" page="10" val="0"/>
</file>

<file path=xl/ctrlProps/ctrlProp8.xml><?xml version="1.0" encoding="utf-8"?>
<formControlPr xmlns="http://schemas.microsoft.com/office/spreadsheetml/2009/9/main" objectType="Spin" dx="15" fmlaLink="$B$33" max="30000" page="10" val="0"/>
</file>

<file path=xl/ctrlProps/ctrlProp9.xml><?xml version="1.0" encoding="utf-8"?>
<formControlPr xmlns="http://schemas.microsoft.com/office/spreadsheetml/2009/9/main" objectType="Drop" dropLines="11" dropStyle="combo" dx="15" fmlaLink="$B$22" fmlaRange="Sheet2!$E$10:$E$20" sel="2" val="0"/>
</file>

<file path=xl/ctrlProps/ctrlProp10.xml><?xml version="1.0" encoding="utf-8"?>
<formControlPr xmlns="http://schemas.microsoft.com/office/spreadsheetml/2009/9/main" objectType="Drop" dropStyle="combo" dx="15" fmlaLink="$B$23" fmlaRange="Sheet2!$F$10:$F$14" sel="2" val="0"/>
</file>

<file path=xl/ctrlProps/ctrlProp11.xml><?xml version="1.0" encoding="utf-8"?>
<formControlPr xmlns="http://schemas.microsoft.com/office/spreadsheetml/2009/9/main" objectType="Drop" dropLines="9" dropStyle="combo" dx="15" fmlaLink="$B$24" fmlaRange="Sheet2!$G$10:$G$18" sel="2" val="0"/>
</file>

<file path=xl/ctrlProps/ctrlProp12.xml><?xml version="1.0" encoding="utf-8"?>
<formControlPr xmlns="http://schemas.microsoft.com/office/spreadsheetml/2009/9/main" objectType="Drop" dropLines="12" dropStyle="combo" dx="15" fmlaLink="$B$25" fmlaRange="Sheet2!$H$10:$H$20" sel="1" val="0"/>
</file>

<file path=xl/ctrlProps/ctrlProp13.xml><?xml version="1.0" encoding="utf-8"?>
<formControlPr xmlns="http://schemas.microsoft.com/office/spreadsheetml/2009/9/main" objectType="Drop" dropStyle="combo" dx="15" fmlaLink="$B$43" fmlaRange="Sheet2!$X$10:$X$11" sel="1" val="0"/>
</file>

<file path=xl/ctrlProps/ctrlProp14.xml><?xml version="1.0" encoding="utf-8"?>
<formControlPr xmlns="http://schemas.microsoft.com/office/spreadsheetml/2009/9/main" objectType="Drop" dropStyle="combo" dx="15" fmlaLink="$B$53" fmlaRange="Sheet2!$AF$10:$AF$11" sel="1" val="0"/>
</file>

<file path=xl/ctrlProps/ctrlProp15.xml><?xml version="1.0" encoding="utf-8"?>
<formControlPr xmlns="http://schemas.microsoft.com/office/spreadsheetml/2009/9/main" objectType="Drop" dropLines="5" dropStyle="combo" dx="15" fmlaLink="$B$54" fmlaRange="Sheet2!$AG$10:$AG$14" sel="1" val="0"/>
</file>

<file path=xl/ctrlProps/ctrlProp16.xml><?xml version="1.0" encoding="utf-8"?>
<formControlPr xmlns="http://schemas.microsoft.com/office/spreadsheetml/2009/9/main" objectType="Drop" dropStyle="combo" dx="15" fmlaLink="$C$24" fmlaRange="Sheet2!$AH$10:$AH$12" sel="1" val="0"/>
</file>

<file path=xl/ctrlProps/ctrlProp17.xml><?xml version="1.0" encoding="utf-8"?>
<formControlPr xmlns="http://schemas.microsoft.com/office/spreadsheetml/2009/9/main" objectType="Drop" dropStyle="combo" dx="15" fmlaLink="$B$49" fmlaRange="Sheet2!$AC$10:$AC$12" sel="1" val="0"/>
</file>

<file path=xl/ctrlProps/ctrlProp18.xml><?xml version="1.0" encoding="utf-8"?>
<formControlPr xmlns="http://schemas.microsoft.com/office/spreadsheetml/2009/9/main" objectType="Drop" dropStyle="combo" dx="15" fmlaLink="$B$47" fmlaRange="Sheet2!$AA$10:$AA$14" sel="2" val="0"/>
</file>

<file path=xl/ctrlProps/ctrlProp19.xml><?xml version="1.0" encoding="utf-8"?>
<formControlPr xmlns="http://schemas.microsoft.com/office/spreadsheetml/2009/9/main" objectType="Drop" dropLines="10" dropStyle="combo" dx="15" fmlaLink="$B$46" fmlaRange="Sheet2!$Z$10:$Z$19" sel="1" val="0"/>
</file>

<file path=xl/ctrlProps/ctrlProp20.xml><?xml version="1.0" encoding="utf-8"?>
<formControlPr xmlns="http://schemas.microsoft.com/office/spreadsheetml/2009/9/main" objectType="Drop" dropStyle="combo" dx="15" fmlaLink="$C$46" fmlaRange="Sheet2!$Z$26:$Z$29" sel="2" val="0"/>
</file>

<file path=xl/ctrlProps/ctrlProp21.xml><?xml version="1.0" encoding="utf-8"?>
<formControlPr xmlns="http://schemas.microsoft.com/office/spreadsheetml/2009/9/main" objectType="Drop" dropStyle="combo" dx="15" fmlaLink="$C$47" fmlaRange="Sheet2!$AA$26:$AA$28" sel="2" val="0"/>
</file>

<file path=xl/ctrlProps/ctrlProp22.xml><?xml version="1.0" encoding="utf-8"?>
<formControlPr xmlns="http://schemas.microsoft.com/office/spreadsheetml/2009/9/main" objectType="Drop" dropStyle="combo" dx="15" fmlaLink="$B$58" fmlaRange="Sheet2!$AJ$10:$AJ$14" sel="1" val="0"/>
</file>

<file path=xl/ctrlProps/ctrlProp23.xml><?xml version="1.0" encoding="utf-8"?>
<formControlPr xmlns="http://schemas.microsoft.com/office/spreadsheetml/2009/9/main" objectType="Drop" dropStyle="combo" dx="15" fmlaLink="$B$60" fmlaRange="Sheet2!$AL$10:$AL$11" sel="1" val="0"/>
</file>

<file path=xl/ctrlProps/ctrlProp24.xml><?xml version="1.0" encoding="utf-8"?>
<formControlPr xmlns="http://schemas.microsoft.com/office/spreadsheetml/2009/9/main" objectType="Drop" dropLines="4" dropStyle="combo" dx="15" fmlaLink="$B$61" fmlaRange="Sheet2!$AM$10:$AM$13" sel="2" val="0"/>
</file>

<file path=xl/ctrlProps/ctrlProp25.xml><?xml version="1.0" encoding="utf-8"?>
<formControlPr xmlns="http://schemas.microsoft.com/office/spreadsheetml/2009/9/main" objectType="Drop" dropStyle="combo" dx="15" fmlaLink="$B$62" fmlaRange="Sheet2!$AN$10:$AN$11" sel="1" val="0"/>
</file>

<file path=xl/ctrlProps/ctrlProp26.xml><?xml version="1.0" encoding="utf-8"?>
<formControlPr xmlns="http://schemas.microsoft.com/office/spreadsheetml/2009/9/main" objectType="Drop" dropStyle="combo" dx="15" fmlaLink="$B$63" fmlaRange="Sheet2!$AO$10:$AO$11" sel="1" val="0"/>
</file>

<file path=xl/ctrlProps/ctrlProp27.xml><?xml version="1.0" encoding="utf-8"?>
<formControlPr xmlns="http://schemas.microsoft.com/office/spreadsheetml/2009/9/main" objectType="Drop" dropStyle="combo" dx="15" fmlaLink="$B$64" fmlaRange="Sheet2!$AP$10:$AP$11" sel="1" val="0"/>
</file>

<file path=xl/ctrlProps/ctrlProp28.xml><?xml version="1.0" encoding="utf-8"?>
<formControlPr xmlns="http://schemas.microsoft.com/office/spreadsheetml/2009/9/main" objectType="Drop" dropStyle="combo" dx="15" fmlaLink="$B$65" fmlaRange="Sheet2!$AQ$10:$AQ$11" sel="1" val="0"/>
</file>

<file path=xl/ctrlProps/ctrlProp29.xml><?xml version="1.0" encoding="utf-8"?>
<formControlPr xmlns="http://schemas.microsoft.com/office/spreadsheetml/2009/9/main" objectType="Drop" dropLines="9" dropStyle="combo" dx="15" fmlaLink="$B$37" fmlaRange="Sheet2!$R$10:$R$18" sel="1" val="0"/>
</file>

<file path=xl/ctrlProps/ctrlProp30.xml><?xml version="1.0" encoding="utf-8"?>
<formControlPr xmlns="http://schemas.microsoft.com/office/spreadsheetml/2009/9/main" objectType="Drop" dropStyle="combo" dx="15" fmlaLink="$B$38" fmlaRange="Sheet2!$S$10:$S$12" sel="1" val="0"/>
</file>

<file path=xl/ctrlProps/ctrlProp31.xml><?xml version="1.0" encoding="utf-8"?>
<formControlPr xmlns="http://schemas.microsoft.com/office/spreadsheetml/2009/9/main" objectType="Drop" dropStyle="combo" dx="15" fmlaLink="$B$39" fmlaRange="Sheet2!$T$10:$T$17" sel="6" val="0"/>
</file>

<file path=xl/ctrlProps/ctrlProp32.xml><?xml version="1.0" encoding="utf-8"?>
<formControlPr xmlns="http://schemas.microsoft.com/office/spreadsheetml/2009/9/main" objectType="Drop" dropStyle="combo" dx="15" fmlaLink="$B$41" fmlaRange="Sheet2!$V$10:$V$14" sel="1" val="0"/>
</file>

<file path=xl/ctrlProps/ctrlProp33.xml><?xml version="1.0" encoding="utf-8"?>
<formControlPr xmlns="http://schemas.microsoft.com/office/spreadsheetml/2009/9/main" objectType="Drop" dropStyle="combo" dx="15" fmlaLink="$B$42" fmlaRange="Sheet2!$W$10:$W$12" sel="2" val="0"/>
</file>

<file path=xl/ctrlProps/ctrlProp34.xml><?xml version="1.0" encoding="utf-8"?>
<formControlPr xmlns="http://schemas.microsoft.com/office/spreadsheetml/2009/9/main" objectType="Spin" dx="15" fmlaLink="$C$37" max="30000" page="10" val="0"/>
</file>

<file path=xl/ctrlProps/ctrlProp35.xml><?xml version="1.0" encoding="utf-8"?>
<formControlPr xmlns="http://schemas.microsoft.com/office/spreadsheetml/2009/9/main" objectType="Spin" dx="15" fmlaLink="$C$39" max="30000" page="10" val="12"/>
</file>

<file path=xl/ctrlProps/ctrlProp36.xml><?xml version="1.0" encoding="utf-8"?>
<formControlPr xmlns="http://schemas.microsoft.com/office/spreadsheetml/2009/9/main" objectType="Spin" dx="15" fmlaLink="$C$42" max="30000" page="10" val="5"/>
</file>

<file path=xl/ctrlProps/ctrlProp37.xml><?xml version="1.0" encoding="utf-8"?>
<formControlPr xmlns="http://schemas.microsoft.com/office/spreadsheetml/2009/9/main" objectType="Drop" dropLines="10" dropStyle="combo" dx="15" fmlaLink="$B$50" fmlaRange="Sheet2!$AD$10:$AD$20" sel="1" val="0"/>
</file>

<file path=xl/ctrlProps/ctrlProp38.xml><?xml version="1.0" encoding="utf-8"?>
<formControlPr xmlns="http://schemas.microsoft.com/office/spreadsheetml/2009/9/main" objectType="Drop" dropStyle="combo" dx="15" fmlaLink="$D$2" fmlaRange="Sheet2!$C$26:$C$28" sel="2" val="0"/>
</file>

<file path=xl/ctrlProps/ctrlProp39.xml><?xml version="1.0" encoding="utf-8"?>
<formControlPr xmlns="http://schemas.microsoft.com/office/spreadsheetml/2009/9/main" objectType="Drop" dropStyle="combo" dx="15" fmlaLink="C3" fmlaRange="Sheet2!$A$10:$A$12" sel="1" val="0"/>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Drop" dropStyle="combo" dx="15" fmlaLink="$B$34" fmlaRange="Sheet2!$P$10:$P$13" sel="1" val="0"/>
</file>

<file path=xl/ctrlProps/ctrlProp42.xml><?xml version="1.0" encoding="utf-8"?>
<formControlPr xmlns="http://schemas.microsoft.com/office/spreadsheetml/2009/9/main" objectType="Drop" dropStyle="combo" dx="15" fmlaLink="$D$3" fmlaRange="Sheet3!$B$22:$B$29" sel="8" val="0"/>
</file>

<file path=xl/ctrlProps/ctrlProp43.xml><?xml version="1.0" encoding="utf-8"?>
<formControlPr xmlns="http://schemas.microsoft.com/office/spreadsheetml/2009/9/main" objectType="Drop" dropStyle="combo" dx="15" fmlaLink="$E$3" fmlaRange="Sheet3!$B$22:$B$29" sel="6" val="0"/>
</file>

<file path=xl/ctrlProps/ctrlProp44.xml><?xml version="1.0" encoding="utf-8"?>
<formControlPr xmlns="http://schemas.microsoft.com/office/spreadsheetml/2009/9/main" objectType="Drop" dropStyle="combo" dx="15" fmlaLink="$F$3" fmlaRange="Sheet3!$B$22:$B$29" sel="4" val="0"/>
</file>

<file path=xl/ctrlProps/ctrlProp45.xml><?xml version="1.0" encoding="utf-8"?>
<formControlPr xmlns="http://schemas.microsoft.com/office/spreadsheetml/2009/9/main" objectType="Drop" dropStyle="combo" dx="15" fmlaLink="$G$3" fmlaRange="Sheet3!$B$22:$B$29" sel="2" val="0"/>
</file>

<file path=xl/ctrlProps/ctrlProp46.xml><?xml version="1.0" encoding="utf-8"?>
<formControlPr xmlns="http://schemas.microsoft.com/office/spreadsheetml/2009/9/main" objectType="Spin" dx="15" fmlaLink="$B$40" max="30000" page="10" val="0"/>
</file>

<file path=xl/ctrlProps/ctrlProp47.xml><?xml version="1.0" encoding="utf-8"?>
<formControlPr xmlns="http://schemas.microsoft.com/office/spreadsheetml/2009/9/main" objectType="Spin" dx="15" fmlaLink="$C$58" max="30000" page="10" val="470"/>
</file>

<file path=xl/ctrlProps/ctrlProp48.xml><?xml version="1.0" encoding="utf-8"?>
<formControlPr xmlns="http://schemas.microsoft.com/office/spreadsheetml/2009/9/main" objectType="Drop" dropLines="2" dropStyle="combo" dx="15" fmlaLink="$B$48" fmlaRange="Sheet2!$AB$10:$AB$11" sel="1" val="0"/>
</file>

<file path=xl/ctrlProps/ctrlProp49.xml><?xml version="1.0" encoding="utf-8"?>
<formControlPr xmlns="http://schemas.microsoft.com/office/spreadsheetml/2009/9/main" objectType="Drop" dropStyle="combo" dx="15" fmlaLink="$B$11" fmlaRange="Sheet2!$AB$10:$AB$11" sel="2" val="0"/>
</file>

<file path=xl/ctrlProps/ctrlProp50.xml><?xml version="1.0" encoding="utf-8"?>
<formControlPr xmlns="http://schemas.microsoft.com/office/spreadsheetml/2009/9/main" objectType="Drop" dropStyle="combo" dx="15" fmlaLink="$B$13" fmlaRange="Sheet2!$AB$10:$AB$11" sel="2" val="0"/>
</file>

<file path=xl/ctrlProps/ctrlProp51.xml><?xml version="1.0" encoding="utf-8"?>
<formControlPr xmlns="http://schemas.microsoft.com/office/spreadsheetml/2009/9/main" objectType="Drop" dropStyle="combo" dx="15" fmlaLink="$B$9" fmlaRange="Sheet2!$AB$10:$AB$11" sel="2" val="0"/>
</file>

<file path=xl/ctrlProps/ctrlProp52.xml><?xml version="1.0" encoding="utf-8"?>
<formControlPr xmlns="http://schemas.microsoft.com/office/spreadsheetml/2009/9/main" objectType="Drop" dropLines="7" dropStyle="combo" dx="15" fmlaLink="$B$59" fmlaRange="Sheet2!$AK$10:$AK$15" sel="1" val="0"/>
</file>

<file path=xl/ctrlProps/ctrlProp53.xml><?xml version="1.0" encoding="utf-8"?>
<formControlPr xmlns="http://schemas.microsoft.com/office/spreadsheetml/2009/9/main" objectType="Drop" dropStyle="combo" dx="15" fmlaLink="$B$15" fmlaRange="Sheet3!$G$22:$H$26" sel="1" val="0"/>
</file>

<file path=xl/ctrlProps/ctrlProp54.xml><?xml version="1.0" encoding="utf-8"?>
<formControlPr xmlns="http://schemas.microsoft.com/office/spreadsheetml/2009/9/main" objectType="Drop" dropLines="16" dropStyle="combo" dx="15" fmlaLink="'FA Report'!$A$6" fmlaRange="'FA Report'!$H$2:$H$4" sel="1" val="0"/>
</file>

<file path=xl/ctrlProps/ctrlProp55.xml><?xml version="1.0" encoding="utf-8"?>
<formControlPr xmlns="http://schemas.microsoft.com/office/spreadsheetml/2009/9/main" objectType="Drop" dropLines="16" dropStyle="combo" dx="15" fmlaLink="$D$6" fmlaRange="'FA Report'!$H$2:$H$4" sel="0" val="0"/>
</file>

<file path=xl/ctrlProps/ctrlProp56.xml><?xml version="1.0" encoding="utf-8"?>
<formControlPr xmlns="http://schemas.microsoft.com/office/spreadsheetml/2009/9/main" objectType="Drop" dropLines="16" dropStyle="combo" dx="15" fmlaLink="$A$7" fmlaRange="'FA Report'!$I$2:$I$7" sel="1" val="0"/>
</file>

<file path=xl/ctrlProps/ctrlProp57.xml><?xml version="1.0" encoding="utf-8"?>
<formControlPr xmlns="http://schemas.microsoft.com/office/spreadsheetml/2009/9/main" objectType="Drop" dropLines="16" dropStyle="combo" dx="15" fmlaLink="$D$7" fmlaRange="'FA Report'!$I$2:$I$7" sel="1" val="0"/>
</file>

<file path=xl/ctrlProps/ctrlProp58.xml><?xml version="1.0" encoding="utf-8"?>
<formControlPr xmlns="http://schemas.microsoft.com/office/spreadsheetml/2009/9/main" objectType="Drop" dropLines="16" dropStyle="combo" dx="15" fmlaLink="$A$14" fmlaRange="'FA Report'!$J$2:$J$7" sel="1" val="0"/>
</file>

<file path=xl/ctrlProps/ctrlProp59.xml><?xml version="1.0" encoding="utf-8"?>
<formControlPr xmlns="http://schemas.microsoft.com/office/spreadsheetml/2009/9/main" objectType="Drop" dropLines="16" dropStyle="combo" dx="15" fmlaLink="$D$14" fmlaRange="'FA Report'!$J$2:$J$7" sel="1" val="0"/>
</file>

<file path=xl/ctrlProps/ctrlProp60.xml><?xml version="1.0" encoding="utf-8"?>
<formControlPr xmlns="http://schemas.microsoft.com/office/spreadsheetml/2009/9/main" objectType="Spin" dx="15" fmlaLink="$D$12" max="100" page="10" val="0"/>
</file>

<file path=xl/ctrlProps/ctrlProp61.xml><?xml version="1.0" encoding="utf-8"?>
<formControlPr xmlns="http://schemas.microsoft.com/office/spreadsheetml/2009/9/main" objectType="Drop" dropLines="3" dropStyle="combo" dx="15" fmlaLink="$D$11" fmlaRange="$A$3:$A$5" noThreeD="1" sel="1" val="0"/>
</file>

<file path=xl/ctrlProps/ctrlProp62.xml><?xml version="1.0" encoding="utf-8"?>
<formControlPr xmlns="http://schemas.microsoft.com/office/spreadsheetml/2009/9/main" objectType="Spin" dx="15" fmlaLink="$D$12" max="100" page="10" val="0"/>
</file>

<file path=xl/drawings/_rels/drawing3.xml.rels><?xml version="1.0" encoding="UTF-8" standalone="yes"?>
<Relationships xmlns="http://schemas.openxmlformats.org/package/2006/relationships"><Relationship Id="rId1" Type="http://schemas.openxmlformats.org/officeDocument/2006/relationships/image" Target="../media/image19.png"/></Relationships>
</file>

<file path=xl/drawings/_rels/drawing4.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xml.rels><?xml version="1.0" encoding="UTF-8" standalone="yes"?>
<Relationships xmlns="http://schemas.openxmlformats.org/package/2006/relationships"><Relationship Id="rId1" Type="http://schemas.openxmlformats.org/officeDocument/2006/relationships/image" Target="../media/image92.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19.png"/></Relationships>
</file>

<file path=xl/drawings/_rels/drawing9.x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13.emf"/><Relationship Id="rId3" Type="http://schemas.openxmlformats.org/officeDocument/2006/relationships/image" Target="../media/image8.emf"/><Relationship Id="rId7" Type="http://schemas.openxmlformats.org/officeDocument/2006/relationships/image" Target="../media/image9.emf"/><Relationship Id="rId12" Type="http://schemas.openxmlformats.org/officeDocument/2006/relationships/image" Target="../media/image12.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3.emf"/><Relationship Id="rId11" Type="http://schemas.openxmlformats.org/officeDocument/2006/relationships/image" Target="../media/image11.emf"/><Relationship Id="rId5" Type="http://schemas.openxmlformats.org/officeDocument/2006/relationships/image" Target="../media/image4.emf"/><Relationship Id="rId10" Type="http://schemas.openxmlformats.org/officeDocument/2006/relationships/image" Target="../media/image1.emf"/><Relationship Id="rId4" Type="http://schemas.openxmlformats.org/officeDocument/2006/relationships/image" Target="../media/image5.emf"/><Relationship Id="rId9"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5.emf"/><Relationship Id="rId1" Type="http://schemas.openxmlformats.org/officeDocument/2006/relationships/image" Target="../media/image16.emf"/><Relationship Id="rId4"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5.vml.rels><?xml version="1.0" encoding="UTF-8" standalone="yes"?>
<Relationships xmlns="http://schemas.openxmlformats.org/package/2006/relationships"><Relationship Id="rId26" Type="http://schemas.openxmlformats.org/officeDocument/2006/relationships/image" Target="../media/image47.emf"/><Relationship Id="rId21" Type="http://schemas.openxmlformats.org/officeDocument/2006/relationships/image" Target="../media/image52.emf"/><Relationship Id="rId42" Type="http://schemas.openxmlformats.org/officeDocument/2006/relationships/image" Target="../media/image77.emf"/><Relationship Id="rId47" Type="http://schemas.openxmlformats.org/officeDocument/2006/relationships/image" Target="../media/image82.emf"/><Relationship Id="rId63" Type="http://schemas.openxmlformats.org/officeDocument/2006/relationships/image" Target="../media/image28.emf"/><Relationship Id="rId68" Type="http://schemas.openxmlformats.org/officeDocument/2006/relationships/image" Target="../media/image91.emf"/><Relationship Id="rId7" Type="http://schemas.openxmlformats.org/officeDocument/2006/relationships/image" Target="../media/image66.emf"/><Relationship Id="rId71" Type="http://schemas.openxmlformats.org/officeDocument/2006/relationships/image" Target="../media/image23.emf"/><Relationship Id="rId2" Type="http://schemas.openxmlformats.org/officeDocument/2006/relationships/image" Target="../media/image71.emf"/><Relationship Id="rId16" Type="http://schemas.openxmlformats.org/officeDocument/2006/relationships/image" Target="../media/image60.emf"/><Relationship Id="rId29" Type="http://schemas.openxmlformats.org/officeDocument/2006/relationships/image" Target="../media/image44.emf"/><Relationship Id="rId11" Type="http://schemas.openxmlformats.org/officeDocument/2006/relationships/image" Target="../media/image54.emf"/><Relationship Id="rId24" Type="http://schemas.openxmlformats.org/officeDocument/2006/relationships/image" Target="../media/image49.emf"/><Relationship Id="rId32" Type="http://schemas.openxmlformats.org/officeDocument/2006/relationships/image" Target="../media/image41.emf"/><Relationship Id="rId37" Type="http://schemas.openxmlformats.org/officeDocument/2006/relationships/image" Target="../media/image72.emf"/><Relationship Id="rId40" Type="http://schemas.openxmlformats.org/officeDocument/2006/relationships/image" Target="../media/image75.emf"/><Relationship Id="rId45" Type="http://schemas.openxmlformats.org/officeDocument/2006/relationships/image" Target="../media/image80.emf"/><Relationship Id="rId53" Type="http://schemas.openxmlformats.org/officeDocument/2006/relationships/image" Target="../media/image87.emf"/><Relationship Id="rId58" Type="http://schemas.openxmlformats.org/officeDocument/2006/relationships/image" Target="../media/image32.emf"/><Relationship Id="rId66" Type="http://schemas.openxmlformats.org/officeDocument/2006/relationships/image" Target="../media/image10.emf"/><Relationship Id="rId5" Type="http://schemas.openxmlformats.org/officeDocument/2006/relationships/image" Target="../media/image69.emf"/><Relationship Id="rId61" Type="http://schemas.openxmlformats.org/officeDocument/2006/relationships/image" Target="../media/image89.emf"/><Relationship Id="rId19" Type="http://schemas.openxmlformats.org/officeDocument/2006/relationships/image" Target="../media/image56.emf"/><Relationship Id="rId14" Type="http://schemas.openxmlformats.org/officeDocument/2006/relationships/image" Target="../media/image62.emf"/><Relationship Id="rId22" Type="http://schemas.openxmlformats.org/officeDocument/2006/relationships/image" Target="../media/image51.emf"/><Relationship Id="rId27" Type="http://schemas.openxmlformats.org/officeDocument/2006/relationships/image" Target="../media/image46.emf"/><Relationship Id="rId30" Type="http://schemas.openxmlformats.org/officeDocument/2006/relationships/image" Target="../media/image43.emf"/><Relationship Id="rId35" Type="http://schemas.openxmlformats.org/officeDocument/2006/relationships/image" Target="../media/image38.emf"/><Relationship Id="rId43" Type="http://schemas.openxmlformats.org/officeDocument/2006/relationships/image" Target="../media/image78.emf"/><Relationship Id="rId48" Type="http://schemas.openxmlformats.org/officeDocument/2006/relationships/image" Target="../media/image83.emf"/><Relationship Id="rId56" Type="http://schemas.openxmlformats.org/officeDocument/2006/relationships/image" Target="../media/image34.emf"/><Relationship Id="rId64" Type="http://schemas.openxmlformats.org/officeDocument/2006/relationships/image" Target="../media/image26.emf"/><Relationship Id="rId69" Type="http://schemas.openxmlformats.org/officeDocument/2006/relationships/image" Target="../media/image25.emf"/><Relationship Id="rId8" Type="http://schemas.openxmlformats.org/officeDocument/2006/relationships/image" Target="../media/image57.emf"/><Relationship Id="rId51" Type="http://schemas.openxmlformats.org/officeDocument/2006/relationships/image" Target="../media/image86.emf"/><Relationship Id="rId3" Type="http://schemas.openxmlformats.org/officeDocument/2006/relationships/image" Target="../media/image67.emf"/><Relationship Id="rId12" Type="http://schemas.openxmlformats.org/officeDocument/2006/relationships/image" Target="../media/image53.emf"/><Relationship Id="rId17" Type="http://schemas.openxmlformats.org/officeDocument/2006/relationships/image" Target="../media/image59.emf"/><Relationship Id="rId25" Type="http://schemas.openxmlformats.org/officeDocument/2006/relationships/image" Target="../media/image48.emf"/><Relationship Id="rId33" Type="http://schemas.openxmlformats.org/officeDocument/2006/relationships/image" Target="../media/image40.emf"/><Relationship Id="rId38" Type="http://schemas.openxmlformats.org/officeDocument/2006/relationships/image" Target="../media/image73.emf"/><Relationship Id="rId46" Type="http://schemas.openxmlformats.org/officeDocument/2006/relationships/image" Target="../media/image81.emf"/><Relationship Id="rId59" Type="http://schemas.openxmlformats.org/officeDocument/2006/relationships/image" Target="../media/image31.emf"/><Relationship Id="rId67" Type="http://schemas.openxmlformats.org/officeDocument/2006/relationships/image" Target="../media/image90.emf"/><Relationship Id="rId20" Type="http://schemas.openxmlformats.org/officeDocument/2006/relationships/image" Target="../media/image55.emf"/><Relationship Id="rId41" Type="http://schemas.openxmlformats.org/officeDocument/2006/relationships/image" Target="../media/image76.emf"/><Relationship Id="rId54" Type="http://schemas.openxmlformats.org/officeDocument/2006/relationships/image" Target="../media/image35.emf"/><Relationship Id="rId62" Type="http://schemas.openxmlformats.org/officeDocument/2006/relationships/image" Target="../media/image29.emf"/><Relationship Id="rId70" Type="http://schemas.openxmlformats.org/officeDocument/2006/relationships/image" Target="../media/image24.emf"/><Relationship Id="rId1" Type="http://schemas.openxmlformats.org/officeDocument/2006/relationships/image" Target="../media/image22.emf"/><Relationship Id="rId6" Type="http://schemas.openxmlformats.org/officeDocument/2006/relationships/image" Target="../media/image68.emf"/><Relationship Id="rId15" Type="http://schemas.openxmlformats.org/officeDocument/2006/relationships/image" Target="../media/image61.emf"/><Relationship Id="rId23" Type="http://schemas.openxmlformats.org/officeDocument/2006/relationships/image" Target="../media/image50.emf"/><Relationship Id="rId28" Type="http://schemas.openxmlformats.org/officeDocument/2006/relationships/image" Target="../media/image45.emf"/><Relationship Id="rId36" Type="http://schemas.openxmlformats.org/officeDocument/2006/relationships/image" Target="../media/image37.emf"/><Relationship Id="rId49" Type="http://schemas.openxmlformats.org/officeDocument/2006/relationships/image" Target="../media/image84.emf"/><Relationship Id="rId57" Type="http://schemas.openxmlformats.org/officeDocument/2006/relationships/image" Target="../media/image33.emf"/><Relationship Id="rId10" Type="http://schemas.openxmlformats.org/officeDocument/2006/relationships/image" Target="../media/image64.emf"/><Relationship Id="rId31" Type="http://schemas.openxmlformats.org/officeDocument/2006/relationships/image" Target="../media/image42.emf"/><Relationship Id="rId44" Type="http://schemas.openxmlformats.org/officeDocument/2006/relationships/image" Target="../media/image79.emf"/><Relationship Id="rId52" Type="http://schemas.openxmlformats.org/officeDocument/2006/relationships/image" Target="../media/image36.emf"/><Relationship Id="rId60" Type="http://schemas.openxmlformats.org/officeDocument/2006/relationships/image" Target="../media/image30.emf"/><Relationship Id="rId65" Type="http://schemas.openxmlformats.org/officeDocument/2006/relationships/image" Target="../media/image27.emf"/><Relationship Id="rId4" Type="http://schemas.openxmlformats.org/officeDocument/2006/relationships/image" Target="../media/image70.emf"/><Relationship Id="rId9" Type="http://schemas.openxmlformats.org/officeDocument/2006/relationships/image" Target="../media/image65.emf"/><Relationship Id="rId13" Type="http://schemas.openxmlformats.org/officeDocument/2006/relationships/image" Target="../media/image63.emf"/><Relationship Id="rId18" Type="http://schemas.openxmlformats.org/officeDocument/2006/relationships/image" Target="../media/image58.emf"/><Relationship Id="rId39" Type="http://schemas.openxmlformats.org/officeDocument/2006/relationships/image" Target="../media/image74.emf"/><Relationship Id="rId34" Type="http://schemas.openxmlformats.org/officeDocument/2006/relationships/image" Target="../media/image39.emf"/><Relationship Id="rId50" Type="http://schemas.openxmlformats.org/officeDocument/2006/relationships/image" Target="../media/image85.emf"/><Relationship Id="rId55" Type="http://schemas.openxmlformats.org/officeDocument/2006/relationships/image" Target="../media/image88.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93.emf"/><Relationship Id="rId1" Type="http://schemas.openxmlformats.org/officeDocument/2006/relationships/image" Target="../media/image94.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97.emf"/><Relationship Id="rId2" Type="http://schemas.openxmlformats.org/officeDocument/2006/relationships/image" Target="../media/image96.emf"/><Relationship Id="rId1" Type="http://schemas.openxmlformats.org/officeDocument/2006/relationships/image" Target="../media/image95.emf"/><Relationship Id="rId4" Type="http://schemas.openxmlformats.org/officeDocument/2006/relationships/image" Target="../media/image98.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101.emf"/><Relationship Id="rId2" Type="http://schemas.openxmlformats.org/officeDocument/2006/relationships/image" Target="../media/image100.emf"/><Relationship Id="rId1" Type="http://schemas.openxmlformats.org/officeDocument/2006/relationships/image" Target="../media/image99.emf"/><Relationship Id="rId4" Type="http://schemas.openxmlformats.org/officeDocument/2006/relationships/image" Target="../media/image10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104.emf"/><Relationship Id="rId2" Type="http://schemas.openxmlformats.org/officeDocument/2006/relationships/image" Target="../media/image105.emf"/><Relationship Id="rId1" Type="http://schemas.openxmlformats.org/officeDocument/2006/relationships/image" Target="../media/image106.emf"/><Relationship Id="rId4" Type="http://schemas.openxmlformats.org/officeDocument/2006/relationships/image" Target="../media/image103.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07.emf"/><Relationship Id="rId1" Type="http://schemas.openxmlformats.org/officeDocument/2006/relationships/image" Target="../media/image108.emf"/></Relationships>
</file>

<file path=xl/drawings/drawing1.xml><?xml version="1.0" encoding="utf-8"?>
<xdr:wsDr xmlns:xdr="http://schemas.openxmlformats.org/drawingml/2006/spreadsheetDrawing" xmlns:a="http://schemas.openxmlformats.org/drawingml/2006/main">
  <xdr:twoCellAnchor>
    <xdr:from>
      <xdr:col>6</xdr:col>
      <xdr:colOff>142875</xdr:colOff>
      <xdr:row>16</xdr:row>
      <xdr:rowOff>190500</xdr:rowOff>
    </xdr:from>
    <xdr:to>
      <xdr:col>12</xdr:col>
      <xdr:colOff>38100</xdr:colOff>
      <xdr:row>19</xdr:row>
      <xdr:rowOff>28137</xdr:rowOff>
    </xdr:to>
    <xdr:grpSp>
      <xdr:nvGrpSpPr>
        <xdr:cNvPr id="15" name="Group 14">
          <a:extLst>
            <a:ext uri="{FF2B5EF4-FFF2-40B4-BE49-F238E27FC236}">
              <a16:creationId xmlns:a16="http://schemas.microsoft.com/office/drawing/2014/main" id="{00000000-0008-0000-0000-00000F000000}"/>
            </a:ext>
          </a:extLst>
        </xdr:cNvPr>
        <xdr:cNvGrpSpPr/>
      </xdr:nvGrpSpPr>
      <xdr:grpSpPr>
        <a:xfrm>
          <a:off x="7197725" y="4552950"/>
          <a:ext cx="5800725" cy="224987"/>
          <a:chOff x="6172200" y="4791075"/>
          <a:chExt cx="5553075" cy="256737"/>
        </a:xfrm>
      </xdr:grpSpPr>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105650"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Per Panel</a:t>
            </a:r>
          </a:p>
        </xdr:txBody>
      </xdr:sp>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8048625"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Minimum</a:t>
            </a:r>
          </a:p>
        </xdr:txBody>
      </xdr:sp>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6172200"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Per Piece</a:t>
            </a:r>
          </a:p>
        </xdr:txBody>
      </xdr:sp>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8972550"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Flat Adder</a:t>
            </a:r>
          </a:p>
        </xdr:txBody>
      </xdr:sp>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9963150"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 Adder</a:t>
            </a:r>
          </a:p>
        </xdr:txBody>
      </xdr:sp>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0925175"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p>
            <a:r>
              <a:rPr lang="en-US" sz="1000" b="1" u="sng">
                <a:latin typeface="Calibri" pitchFamily="34" charset="0"/>
              </a:rPr>
              <a:t>Tooling</a:t>
            </a:r>
          </a:p>
        </xdr:txBody>
      </xdr:sp>
    </xdr:grpSp>
    <xdr:clientData/>
  </xdr:twoCellAnchor>
  <xdr:twoCellAnchor>
    <xdr:from>
      <xdr:col>6</xdr:col>
      <xdr:colOff>152400</xdr:colOff>
      <xdr:row>24</xdr:row>
      <xdr:rowOff>266700</xdr:rowOff>
    </xdr:from>
    <xdr:to>
      <xdr:col>12</xdr:col>
      <xdr:colOff>47625</xdr:colOff>
      <xdr:row>27</xdr:row>
      <xdr:rowOff>28137</xdr:rowOff>
    </xdr:to>
    <xdr:grpSp>
      <xdr:nvGrpSpPr>
        <xdr:cNvPr id="23" name="Group 22">
          <a:extLst>
            <a:ext uri="{FF2B5EF4-FFF2-40B4-BE49-F238E27FC236}">
              <a16:creationId xmlns:a16="http://schemas.microsoft.com/office/drawing/2014/main" id="{00000000-0008-0000-0000-000017000000}"/>
            </a:ext>
          </a:extLst>
        </xdr:cNvPr>
        <xdr:cNvGrpSpPr/>
      </xdr:nvGrpSpPr>
      <xdr:grpSpPr>
        <a:xfrm>
          <a:off x="7207250" y="6445250"/>
          <a:ext cx="5791200" cy="231337"/>
          <a:chOff x="6172200" y="4791075"/>
          <a:chExt cx="5553075" cy="256737"/>
        </a:xfrm>
      </xdr:grpSpPr>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7105650"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Per Panel</a:t>
            </a:r>
          </a:p>
        </xdr:txBody>
      </xdr:sp>
      <xdr:sp macro="" textlink="">
        <xdr:nvSpPr>
          <xdr:cNvPr id="25" name="TextBox 24">
            <a:extLst>
              <a:ext uri="{FF2B5EF4-FFF2-40B4-BE49-F238E27FC236}">
                <a16:creationId xmlns:a16="http://schemas.microsoft.com/office/drawing/2014/main" id="{00000000-0008-0000-0000-000019000000}"/>
              </a:ext>
            </a:extLst>
          </xdr:cNvPr>
          <xdr:cNvSpPr txBox="1"/>
        </xdr:nvSpPr>
        <xdr:spPr>
          <a:xfrm>
            <a:off x="8048625"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Minimum</a:t>
            </a:r>
          </a:p>
        </xdr:txBody>
      </xdr:sp>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6172200"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Per Piece</a:t>
            </a:r>
          </a:p>
        </xdr:txBody>
      </xdr:sp>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8972550"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Flat Adder</a:t>
            </a:r>
          </a:p>
        </xdr:txBody>
      </xdr:sp>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9963150"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 Adder</a:t>
            </a:r>
          </a:p>
        </xdr:txBody>
      </xdr:sp>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10925175"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p>
            <a:r>
              <a:rPr lang="en-US" sz="1000" b="1" u="sng">
                <a:latin typeface="Calibri" pitchFamily="34" charset="0"/>
              </a:rPr>
              <a:t>Tooling</a:t>
            </a:r>
          </a:p>
        </xdr:txBody>
      </xdr:sp>
    </xdr:grpSp>
    <xdr:clientData/>
  </xdr:twoCellAnchor>
  <xdr:twoCellAnchor>
    <xdr:from>
      <xdr:col>6</xdr:col>
      <xdr:colOff>152400</xdr:colOff>
      <xdr:row>33</xdr:row>
      <xdr:rowOff>266700</xdr:rowOff>
    </xdr:from>
    <xdr:to>
      <xdr:col>12</xdr:col>
      <xdr:colOff>47625</xdr:colOff>
      <xdr:row>36</xdr:row>
      <xdr:rowOff>28137</xdr:rowOff>
    </xdr:to>
    <xdr:grpSp>
      <xdr:nvGrpSpPr>
        <xdr:cNvPr id="30" name="Group 29">
          <a:extLst>
            <a:ext uri="{FF2B5EF4-FFF2-40B4-BE49-F238E27FC236}">
              <a16:creationId xmlns:a16="http://schemas.microsoft.com/office/drawing/2014/main" id="{00000000-0008-0000-0000-00001E000000}"/>
            </a:ext>
          </a:extLst>
        </xdr:cNvPr>
        <xdr:cNvGrpSpPr/>
      </xdr:nvGrpSpPr>
      <xdr:grpSpPr>
        <a:xfrm>
          <a:off x="7207250" y="8629650"/>
          <a:ext cx="5791200" cy="231337"/>
          <a:chOff x="6172200" y="4791075"/>
          <a:chExt cx="5553075" cy="256737"/>
        </a:xfrm>
      </xdr:grpSpPr>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7105650"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Per Panel</a:t>
            </a:r>
          </a:p>
        </xdr:txBody>
      </xdr:sp>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8048625"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Minimum</a:t>
            </a:r>
          </a:p>
        </xdr:txBody>
      </xdr:sp>
      <xdr:sp macro="" textlink="">
        <xdr:nvSpPr>
          <xdr:cNvPr id="33" name="TextBox 32">
            <a:extLst>
              <a:ext uri="{FF2B5EF4-FFF2-40B4-BE49-F238E27FC236}">
                <a16:creationId xmlns:a16="http://schemas.microsoft.com/office/drawing/2014/main" id="{00000000-0008-0000-0000-000021000000}"/>
              </a:ext>
            </a:extLst>
          </xdr:cNvPr>
          <xdr:cNvSpPr txBox="1"/>
        </xdr:nvSpPr>
        <xdr:spPr>
          <a:xfrm>
            <a:off x="6172200"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Per Piece</a:t>
            </a:r>
          </a:p>
        </xdr:txBody>
      </xdr:sp>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8972550"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Flat Adder</a:t>
            </a:r>
          </a:p>
        </xdr:txBody>
      </xdr:sp>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9963150"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 Adder</a:t>
            </a:r>
          </a:p>
        </xdr:txBody>
      </xdr:sp>
      <xdr:sp macro="" textlink="">
        <xdr:nvSpPr>
          <xdr:cNvPr id="36" name="TextBox 35">
            <a:extLst>
              <a:ext uri="{FF2B5EF4-FFF2-40B4-BE49-F238E27FC236}">
                <a16:creationId xmlns:a16="http://schemas.microsoft.com/office/drawing/2014/main" id="{00000000-0008-0000-0000-000024000000}"/>
              </a:ext>
            </a:extLst>
          </xdr:cNvPr>
          <xdr:cNvSpPr txBox="1"/>
        </xdr:nvSpPr>
        <xdr:spPr>
          <a:xfrm>
            <a:off x="10925175"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p>
            <a:r>
              <a:rPr lang="en-US" sz="1000" b="1" u="sng">
                <a:latin typeface="Calibri" pitchFamily="34" charset="0"/>
              </a:rPr>
              <a:t>Tooling</a:t>
            </a:r>
          </a:p>
        </xdr:txBody>
      </xdr:sp>
    </xdr:grpSp>
    <xdr:clientData/>
  </xdr:twoCellAnchor>
  <xdr:twoCellAnchor>
    <xdr:from>
      <xdr:col>6</xdr:col>
      <xdr:colOff>152400</xdr:colOff>
      <xdr:row>42</xdr:row>
      <xdr:rowOff>266700</xdr:rowOff>
    </xdr:from>
    <xdr:to>
      <xdr:col>12</xdr:col>
      <xdr:colOff>47625</xdr:colOff>
      <xdr:row>45</xdr:row>
      <xdr:rowOff>28137</xdr:rowOff>
    </xdr:to>
    <xdr:grpSp>
      <xdr:nvGrpSpPr>
        <xdr:cNvPr id="37" name="Group 36">
          <a:extLst>
            <a:ext uri="{FF2B5EF4-FFF2-40B4-BE49-F238E27FC236}">
              <a16:creationId xmlns:a16="http://schemas.microsoft.com/office/drawing/2014/main" id="{00000000-0008-0000-0000-000025000000}"/>
            </a:ext>
          </a:extLst>
        </xdr:cNvPr>
        <xdr:cNvGrpSpPr/>
      </xdr:nvGrpSpPr>
      <xdr:grpSpPr>
        <a:xfrm>
          <a:off x="7207250" y="10814050"/>
          <a:ext cx="5791200" cy="231337"/>
          <a:chOff x="6172200" y="4791075"/>
          <a:chExt cx="5553075" cy="256737"/>
        </a:xfrm>
      </xdr:grpSpPr>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7105650"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Per Panel</a:t>
            </a:r>
          </a:p>
        </xdr:txBody>
      </xdr:sp>
      <xdr:sp macro="" textlink="">
        <xdr:nvSpPr>
          <xdr:cNvPr id="39" name="TextBox 38">
            <a:extLst>
              <a:ext uri="{FF2B5EF4-FFF2-40B4-BE49-F238E27FC236}">
                <a16:creationId xmlns:a16="http://schemas.microsoft.com/office/drawing/2014/main" id="{00000000-0008-0000-0000-000027000000}"/>
              </a:ext>
            </a:extLst>
          </xdr:cNvPr>
          <xdr:cNvSpPr txBox="1"/>
        </xdr:nvSpPr>
        <xdr:spPr>
          <a:xfrm>
            <a:off x="8048625"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Minimum</a:t>
            </a:r>
          </a:p>
        </xdr:txBody>
      </xdr:sp>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6172200"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Per Piece</a:t>
            </a:r>
          </a:p>
        </xdr:txBody>
      </xdr:sp>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8972550"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Flat Adder</a:t>
            </a:r>
          </a:p>
        </xdr:txBody>
      </xdr:sp>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9963150"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 Adder</a:t>
            </a:r>
          </a:p>
        </xdr:txBody>
      </xdr:sp>
      <xdr:sp macro="" textlink="">
        <xdr:nvSpPr>
          <xdr:cNvPr id="43" name="TextBox 42">
            <a:extLst>
              <a:ext uri="{FF2B5EF4-FFF2-40B4-BE49-F238E27FC236}">
                <a16:creationId xmlns:a16="http://schemas.microsoft.com/office/drawing/2014/main" id="{00000000-0008-0000-0000-00002B000000}"/>
              </a:ext>
            </a:extLst>
          </xdr:cNvPr>
          <xdr:cNvSpPr txBox="1"/>
        </xdr:nvSpPr>
        <xdr:spPr>
          <a:xfrm>
            <a:off x="10925175"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p>
            <a:r>
              <a:rPr lang="en-US" sz="1000" b="1" u="sng">
                <a:latin typeface="Calibri" pitchFamily="34" charset="0"/>
              </a:rPr>
              <a:t>Tooling</a:t>
            </a:r>
          </a:p>
        </xdr:txBody>
      </xdr:sp>
    </xdr:grpSp>
    <xdr:clientData/>
  </xdr:twoCellAnchor>
  <xdr:twoCellAnchor>
    <xdr:from>
      <xdr:col>6</xdr:col>
      <xdr:colOff>152400</xdr:colOff>
      <xdr:row>49</xdr:row>
      <xdr:rowOff>266700</xdr:rowOff>
    </xdr:from>
    <xdr:to>
      <xdr:col>12</xdr:col>
      <xdr:colOff>47625</xdr:colOff>
      <xdr:row>52</xdr:row>
      <xdr:rowOff>28137</xdr:rowOff>
    </xdr:to>
    <xdr:grpSp>
      <xdr:nvGrpSpPr>
        <xdr:cNvPr id="44" name="Group 43">
          <a:extLst>
            <a:ext uri="{FF2B5EF4-FFF2-40B4-BE49-F238E27FC236}">
              <a16:creationId xmlns:a16="http://schemas.microsoft.com/office/drawing/2014/main" id="{00000000-0008-0000-0000-00002C000000}"/>
            </a:ext>
          </a:extLst>
        </xdr:cNvPr>
        <xdr:cNvGrpSpPr/>
      </xdr:nvGrpSpPr>
      <xdr:grpSpPr>
        <a:xfrm>
          <a:off x="7207250" y="12426950"/>
          <a:ext cx="5791200" cy="231337"/>
          <a:chOff x="6172200" y="4791075"/>
          <a:chExt cx="5553075" cy="256737"/>
        </a:xfrm>
      </xdr:grpSpPr>
      <xdr:sp macro="" textlink="">
        <xdr:nvSpPr>
          <xdr:cNvPr id="45" name="TextBox 44">
            <a:extLst>
              <a:ext uri="{FF2B5EF4-FFF2-40B4-BE49-F238E27FC236}">
                <a16:creationId xmlns:a16="http://schemas.microsoft.com/office/drawing/2014/main" id="{00000000-0008-0000-0000-00002D000000}"/>
              </a:ext>
            </a:extLst>
          </xdr:cNvPr>
          <xdr:cNvSpPr txBox="1"/>
        </xdr:nvSpPr>
        <xdr:spPr>
          <a:xfrm>
            <a:off x="7105650"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Per Panel</a:t>
            </a:r>
          </a:p>
        </xdr:txBody>
      </xdr:sp>
      <xdr:sp macro="" textlink="">
        <xdr:nvSpPr>
          <xdr:cNvPr id="46" name="TextBox 45">
            <a:extLst>
              <a:ext uri="{FF2B5EF4-FFF2-40B4-BE49-F238E27FC236}">
                <a16:creationId xmlns:a16="http://schemas.microsoft.com/office/drawing/2014/main" id="{00000000-0008-0000-0000-00002E000000}"/>
              </a:ext>
            </a:extLst>
          </xdr:cNvPr>
          <xdr:cNvSpPr txBox="1"/>
        </xdr:nvSpPr>
        <xdr:spPr>
          <a:xfrm>
            <a:off x="8048625"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Minimum</a:t>
            </a:r>
          </a:p>
        </xdr:txBody>
      </xdr:sp>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6172200"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Per Piece</a:t>
            </a:r>
          </a:p>
        </xdr:txBody>
      </xdr:sp>
      <xdr:sp macro="" textlink="">
        <xdr:nvSpPr>
          <xdr:cNvPr id="48" name="TextBox 47">
            <a:extLst>
              <a:ext uri="{FF2B5EF4-FFF2-40B4-BE49-F238E27FC236}">
                <a16:creationId xmlns:a16="http://schemas.microsoft.com/office/drawing/2014/main" id="{00000000-0008-0000-0000-000030000000}"/>
              </a:ext>
            </a:extLst>
          </xdr:cNvPr>
          <xdr:cNvSpPr txBox="1"/>
        </xdr:nvSpPr>
        <xdr:spPr>
          <a:xfrm>
            <a:off x="8972550"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Flat Adder</a:t>
            </a:r>
          </a:p>
        </xdr:txBody>
      </xdr:sp>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9963150"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 Adder</a:t>
            </a:r>
          </a:p>
        </xdr:txBody>
      </xdr:sp>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0925175"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p>
            <a:r>
              <a:rPr lang="en-US" sz="1000" b="1" u="sng">
                <a:latin typeface="Calibri" pitchFamily="34" charset="0"/>
              </a:rPr>
              <a:t>Tooling</a:t>
            </a:r>
          </a:p>
        </xdr:txBody>
      </xdr:sp>
    </xdr:grpSp>
    <xdr:clientData/>
  </xdr:twoCellAnchor>
  <xdr:twoCellAnchor>
    <xdr:from>
      <xdr:col>6</xdr:col>
      <xdr:colOff>152400</xdr:colOff>
      <xdr:row>54</xdr:row>
      <xdr:rowOff>266700</xdr:rowOff>
    </xdr:from>
    <xdr:to>
      <xdr:col>12</xdr:col>
      <xdr:colOff>47625</xdr:colOff>
      <xdr:row>57</xdr:row>
      <xdr:rowOff>28137</xdr:rowOff>
    </xdr:to>
    <xdr:grpSp>
      <xdr:nvGrpSpPr>
        <xdr:cNvPr id="51" name="Group 50">
          <a:extLst>
            <a:ext uri="{FF2B5EF4-FFF2-40B4-BE49-F238E27FC236}">
              <a16:creationId xmlns:a16="http://schemas.microsoft.com/office/drawing/2014/main" id="{00000000-0008-0000-0000-000033000000}"/>
            </a:ext>
          </a:extLst>
        </xdr:cNvPr>
        <xdr:cNvGrpSpPr/>
      </xdr:nvGrpSpPr>
      <xdr:grpSpPr>
        <a:xfrm>
          <a:off x="7207250" y="13468350"/>
          <a:ext cx="5791200" cy="231337"/>
          <a:chOff x="6172200" y="4791075"/>
          <a:chExt cx="5553075" cy="256737"/>
        </a:xfrm>
      </xdr:grpSpPr>
      <xdr:sp macro="" textlink="">
        <xdr:nvSpPr>
          <xdr:cNvPr id="52" name="TextBox 51">
            <a:extLst>
              <a:ext uri="{FF2B5EF4-FFF2-40B4-BE49-F238E27FC236}">
                <a16:creationId xmlns:a16="http://schemas.microsoft.com/office/drawing/2014/main" id="{00000000-0008-0000-0000-000034000000}"/>
              </a:ext>
            </a:extLst>
          </xdr:cNvPr>
          <xdr:cNvSpPr txBox="1"/>
        </xdr:nvSpPr>
        <xdr:spPr>
          <a:xfrm>
            <a:off x="7105650"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Per Panel</a:t>
            </a:r>
          </a:p>
        </xdr:txBody>
      </xdr:sp>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8048625"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Minimum</a:t>
            </a:r>
          </a:p>
        </xdr:txBody>
      </xdr:sp>
      <xdr:sp macro="" textlink="">
        <xdr:nvSpPr>
          <xdr:cNvPr id="54" name="TextBox 53">
            <a:extLst>
              <a:ext uri="{FF2B5EF4-FFF2-40B4-BE49-F238E27FC236}">
                <a16:creationId xmlns:a16="http://schemas.microsoft.com/office/drawing/2014/main" id="{00000000-0008-0000-0000-000036000000}"/>
              </a:ext>
            </a:extLst>
          </xdr:cNvPr>
          <xdr:cNvSpPr txBox="1"/>
        </xdr:nvSpPr>
        <xdr:spPr>
          <a:xfrm>
            <a:off x="6172200"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Per Piece</a:t>
            </a:r>
          </a:p>
        </xdr:txBody>
      </xdr:sp>
      <xdr:sp macro="" textlink="">
        <xdr:nvSpPr>
          <xdr:cNvPr id="55" name="TextBox 54">
            <a:extLst>
              <a:ext uri="{FF2B5EF4-FFF2-40B4-BE49-F238E27FC236}">
                <a16:creationId xmlns:a16="http://schemas.microsoft.com/office/drawing/2014/main" id="{00000000-0008-0000-0000-000037000000}"/>
              </a:ext>
            </a:extLst>
          </xdr:cNvPr>
          <xdr:cNvSpPr txBox="1"/>
        </xdr:nvSpPr>
        <xdr:spPr>
          <a:xfrm>
            <a:off x="8972550"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Flat Adder</a:t>
            </a:r>
          </a:p>
        </xdr:txBody>
      </xdr:sp>
      <xdr:sp macro="" textlink="">
        <xdr:nvSpPr>
          <xdr:cNvPr id="56" name="TextBox 55">
            <a:extLst>
              <a:ext uri="{FF2B5EF4-FFF2-40B4-BE49-F238E27FC236}">
                <a16:creationId xmlns:a16="http://schemas.microsoft.com/office/drawing/2014/main" id="{00000000-0008-0000-0000-000038000000}"/>
              </a:ext>
            </a:extLst>
          </xdr:cNvPr>
          <xdr:cNvSpPr txBox="1"/>
        </xdr:nvSpPr>
        <xdr:spPr>
          <a:xfrm>
            <a:off x="9963150"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 Adder</a:t>
            </a:r>
          </a:p>
        </xdr:txBody>
      </xdr:sp>
      <xdr:sp macro="" textlink="">
        <xdr:nvSpPr>
          <xdr:cNvPr id="57" name="TextBox 56">
            <a:extLst>
              <a:ext uri="{FF2B5EF4-FFF2-40B4-BE49-F238E27FC236}">
                <a16:creationId xmlns:a16="http://schemas.microsoft.com/office/drawing/2014/main" id="{00000000-0008-0000-0000-000039000000}"/>
              </a:ext>
            </a:extLst>
          </xdr:cNvPr>
          <xdr:cNvSpPr txBox="1"/>
        </xdr:nvSpPr>
        <xdr:spPr>
          <a:xfrm>
            <a:off x="10925175"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p>
            <a:r>
              <a:rPr lang="en-US" sz="1000" b="1" u="sng">
                <a:latin typeface="Calibri" pitchFamily="34" charset="0"/>
              </a:rPr>
              <a:t>Tooling</a:t>
            </a:r>
          </a:p>
        </xdr:txBody>
      </xdr:sp>
    </xdr:grpSp>
    <xdr:clientData/>
  </xdr:twoCellAnchor>
  <xdr:twoCellAnchor>
    <xdr:from>
      <xdr:col>6</xdr:col>
      <xdr:colOff>152400</xdr:colOff>
      <xdr:row>64</xdr:row>
      <xdr:rowOff>266700</xdr:rowOff>
    </xdr:from>
    <xdr:to>
      <xdr:col>12</xdr:col>
      <xdr:colOff>47625</xdr:colOff>
      <xdr:row>67</xdr:row>
      <xdr:rowOff>28137</xdr:rowOff>
    </xdr:to>
    <xdr:grpSp>
      <xdr:nvGrpSpPr>
        <xdr:cNvPr id="58" name="Group 57">
          <a:extLst>
            <a:ext uri="{FF2B5EF4-FFF2-40B4-BE49-F238E27FC236}">
              <a16:creationId xmlns:a16="http://schemas.microsoft.com/office/drawing/2014/main" id="{00000000-0008-0000-0000-00003A000000}"/>
            </a:ext>
          </a:extLst>
        </xdr:cNvPr>
        <xdr:cNvGrpSpPr/>
      </xdr:nvGrpSpPr>
      <xdr:grpSpPr>
        <a:xfrm>
          <a:off x="7207250" y="15938500"/>
          <a:ext cx="5791200" cy="231337"/>
          <a:chOff x="6172200" y="4791075"/>
          <a:chExt cx="5553075" cy="256737"/>
        </a:xfrm>
      </xdr:grpSpPr>
      <xdr:sp macro="" textlink="">
        <xdr:nvSpPr>
          <xdr:cNvPr id="59" name="TextBox 58">
            <a:extLst>
              <a:ext uri="{FF2B5EF4-FFF2-40B4-BE49-F238E27FC236}">
                <a16:creationId xmlns:a16="http://schemas.microsoft.com/office/drawing/2014/main" id="{00000000-0008-0000-0000-00003B000000}"/>
              </a:ext>
            </a:extLst>
          </xdr:cNvPr>
          <xdr:cNvSpPr txBox="1"/>
        </xdr:nvSpPr>
        <xdr:spPr>
          <a:xfrm>
            <a:off x="7105650"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Per Panel</a:t>
            </a:r>
          </a:p>
        </xdr:txBody>
      </xdr:sp>
      <xdr:sp macro="" textlink="">
        <xdr:nvSpPr>
          <xdr:cNvPr id="60" name="TextBox 59">
            <a:extLst>
              <a:ext uri="{FF2B5EF4-FFF2-40B4-BE49-F238E27FC236}">
                <a16:creationId xmlns:a16="http://schemas.microsoft.com/office/drawing/2014/main" id="{00000000-0008-0000-0000-00003C000000}"/>
              </a:ext>
            </a:extLst>
          </xdr:cNvPr>
          <xdr:cNvSpPr txBox="1"/>
        </xdr:nvSpPr>
        <xdr:spPr>
          <a:xfrm>
            <a:off x="8048625"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Minimum</a:t>
            </a:r>
          </a:p>
        </xdr:txBody>
      </xdr:sp>
      <xdr:sp macro="" textlink="">
        <xdr:nvSpPr>
          <xdr:cNvPr id="61" name="TextBox 60">
            <a:extLst>
              <a:ext uri="{FF2B5EF4-FFF2-40B4-BE49-F238E27FC236}">
                <a16:creationId xmlns:a16="http://schemas.microsoft.com/office/drawing/2014/main" id="{00000000-0008-0000-0000-00003D000000}"/>
              </a:ext>
            </a:extLst>
          </xdr:cNvPr>
          <xdr:cNvSpPr txBox="1"/>
        </xdr:nvSpPr>
        <xdr:spPr>
          <a:xfrm>
            <a:off x="6172200"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Per Piece</a:t>
            </a:r>
          </a:p>
        </xdr:txBody>
      </xdr:sp>
      <xdr:sp macro="" textlink="">
        <xdr:nvSpPr>
          <xdr:cNvPr id="62" name="TextBox 61">
            <a:extLst>
              <a:ext uri="{FF2B5EF4-FFF2-40B4-BE49-F238E27FC236}">
                <a16:creationId xmlns:a16="http://schemas.microsoft.com/office/drawing/2014/main" id="{00000000-0008-0000-0000-00003E000000}"/>
              </a:ext>
            </a:extLst>
          </xdr:cNvPr>
          <xdr:cNvSpPr txBox="1"/>
        </xdr:nvSpPr>
        <xdr:spPr>
          <a:xfrm>
            <a:off x="8972550"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Flat Adder</a:t>
            </a:r>
          </a:p>
        </xdr:txBody>
      </xdr:sp>
      <xdr:sp macro="" textlink="">
        <xdr:nvSpPr>
          <xdr:cNvPr id="63" name="TextBox 62">
            <a:extLst>
              <a:ext uri="{FF2B5EF4-FFF2-40B4-BE49-F238E27FC236}">
                <a16:creationId xmlns:a16="http://schemas.microsoft.com/office/drawing/2014/main" id="{00000000-0008-0000-0000-00003F000000}"/>
              </a:ext>
            </a:extLst>
          </xdr:cNvPr>
          <xdr:cNvSpPr txBox="1"/>
        </xdr:nvSpPr>
        <xdr:spPr>
          <a:xfrm>
            <a:off x="9963150"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n-US" sz="1000" b="1" u="sng">
                <a:latin typeface="Calibri" pitchFamily="34" charset="0"/>
              </a:rPr>
              <a:t>% Adder</a:t>
            </a:r>
          </a:p>
        </xdr:txBody>
      </xdr:sp>
      <xdr:sp macro="" textlink="">
        <xdr:nvSpPr>
          <xdr:cNvPr id="64" name="TextBox 63">
            <a:extLst>
              <a:ext uri="{FF2B5EF4-FFF2-40B4-BE49-F238E27FC236}">
                <a16:creationId xmlns:a16="http://schemas.microsoft.com/office/drawing/2014/main" id="{00000000-0008-0000-0000-000040000000}"/>
              </a:ext>
            </a:extLst>
          </xdr:cNvPr>
          <xdr:cNvSpPr txBox="1"/>
        </xdr:nvSpPr>
        <xdr:spPr>
          <a:xfrm>
            <a:off x="10925175" y="4791075"/>
            <a:ext cx="800100" cy="256737"/>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noAutofit/>
          </a:bodyPr>
          <a:lstStyle/>
          <a:p>
            <a:r>
              <a:rPr lang="en-US" sz="1000" b="1" u="sng">
                <a:latin typeface="Calibri" pitchFamily="34" charset="0"/>
              </a:rPr>
              <a:t>Tooling</a:t>
            </a:r>
          </a:p>
        </xdr:txBody>
      </xdr:sp>
    </xdr:grpSp>
    <xdr:clientData/>
  </xdr:twoCellAnchor>
  <xdr:oneCellAnchor>
    <xdr:from>
      <xdr:col>6</xdr:col>
      <xdr:colOff>914400</xdr:colOff>
      <xdr:row>10</xdr:row>
      <xdr:rowOff>247650</xdr:rowOff>
    </xdr:from>
    <xdr:ext cx="560474" cy="264560"/>
    <xdr:sp macro="" textlink="">
      <xdr:nvSpPr>
        <xdr:cNvPr id="65" name="TextBox 64">
          <a:extLst>
            <a:ext uri="{FF2B5EF4-FFF2-40B4-BE49-F238E27FC236}">
              <a16:creationId xmlns:a16="http://schemas.microsoft.com/office/drawing/2014/main" id="{00000000-0008-0000-0000-000041000000}"/>
            </a:ext>
          </a:extLst>
        </xdr:cNvPr>
        <xdr:cNvSpPr txBox="1"/>
      </xdr:nvSpPr>
      <xdr:spPr>
        <a:xfrm>
          <a:off x="6943725" y="3000375"/>
          <a:ext cx="560474"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100"/>
            <a:t>Notes:</a:t>
          </a:r>
        </a:p>
      </xdr:txBody>
    </xdr:sp>
    <xdr:clientData/>
  </xdr:oneCellAnchor>
  <xdr:oneCellAnchor>
    <xdr:from>
      <xdr:col>0</xdr:col>
      <xdr:colOff>0</xdr:colOff>
      <xdr:row>1</xdr:row>
      <xdr:rowOff>238126</xdr:rowOff>
    </xdr:from>
    <xdr:ext cx="828674" cy="248851"/>
    <xdr:sp macro="" textlink="">
      <xdr:nvSpPr>
        <xdr:cNvPr id="66" name="TextBox 65">
          <a:extLst>
            <a:ext uri="{FF2B5EF4-FFF2-40B4-BE49-F238E27FC236}">
              <a16:creationId xmlns:a16="http://schemas.microsoft.com/office/drawing/2014/main" id="{00000000-0008-0000-0000-000042000000}"/>
            </a:ext>
          </a:extLst>
        </xdr:cNvPr>
        <xdr:cNvSpPr txBox="1"/>
      </xdr:nvSpPr>
      <xdr:spPr>
        <a:xfrm>
          <a:off x="0" y="495301"/>
          <a:ext cx="828674" cy="24885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pPr algn="l"/>
          <a:r>
            <a:rPr lang="en-US" sz="1000"/>
            <a:t>Cust Name:</a:t>
          </a:r>
        </a:p>
      </xdr:txBody>
    </xdr:sp>
    <xdr:clientData/>
  </xdr:oneCellAnchor>
  <mc:AlternateContent xmlns:mc="http://schemas.openxmlformats.org/markup-compatibility/2006">
    <mc:Choice xmlns:a14="http://schemas.microsoft.com/office/drawing/2010/main" Requires="a14">
      <xdr:twoCellAnchor editAs="oneCell">
        <xdr:from>
          <xdr:col>1</xdr:col>
          <xdr:colOff>31750</xdr:colOff>
          <xdr:row>19</xdr:row>
          <xdr:rowOff>38100</xdr:rowOff>
        </xdr:from>
        <xdr:to>
          <xdr:col>1</xdr:col>
          <xdr:colOff>895350</xdr:colOff>
          <xdr:row>19</xdr:row>
          <xdr:rowOff>247650</xdr:rowOff>
        </xdr:to>
        <xdr:sp macro="" textlink="">
          <xdr:nvSpPr>
            <xdr:cNvPr id="1031" name="Drop Dow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20</xdr:row>
          <xdr:rowOff>38100</xdr:rowOff>
        </xdr:from>
        <xdr:to>
          <xdr:col>1</xdr:col>
          <xdr:colOff>895350</xdr:colOff>
          <xdr:row>20</xdr:row>
          <xdr:rowOff>247650</xdr:rowOff>
        </xdr:to>
        <xdr:sp macro="" textlink="">
          <xdr:nvSpPr>
            <xdr:cNvPr id="1038" name="Drop Dow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717550</xdr:colOff>
          <xdr:row>27</xdr:row>
          <xdr:rowOff>19050</xdr:rowOff>
        </xdr:from>
        <xdr:to>
          <xdr:col>1</xdr:col>
          <xdr:colOff>914400</xdr:colOff>
          <xdr:row>27</xdr:row>
          <xdr:rowOff>266700</xdr:rowOff>
        </xdr:to>
        <xdr:sp macro="" textlink="">
          <xdr:nvSpPr>
            <xdr:cNvPr id="1042" name="Spinner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717550</xdr:colOff>
          <xdr:row>28</xdr:row>
          <xdr:rowOff>19050</xdr:rowOff>
        </xdr:from>
        <xdr:to>
          <xdr:col>1</xdr:col>
          <xdr:colOff>914400</xdr:colOff>
          <xdr:row>28</xdr:row>
          <xdr:rowOff>266700</xdr:rowOff>
        </xdr:to>
        <xdr:sp macro="" textlink="">
          <xdr:nvSpPr>
            <xdr:cNvPr id="1043" name="Spinner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717550</xdr:colOff>
          <xdr:row>29</xdr:row>
          <xdr:rowOff>19050</xdr:rowOff>
        </xdr:from>
        <xdr:to>
          <xdr:col>1</xdr:col>
          <xdr:colOff>914400</xdr:colOff>
          <xdr:row>29</xdr:row>
          <xdr:rowOff>266700</xdr:rowOff>
        </xdr:to>
        <xdr:sp macro="" textlink="">
          <xdr:nvSpPr>
            <xdr:cNvPr id="1044" name="Spinner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717550</xdr:colOff>
          <xdr:row>30</xdr:row>
          <xdr:rowOff>19050</xdr:rowOff>
        </xdr:from>
        <xdr:to>
          <xdr:col>1</xdr:col>
          <xdr:colOff>914400</xdr:colOff>
          <xdr:row>30</xdr:row>
          <xdr:rowOff>266700</xdr:rowOff>
        </xdr:to>
        <xdr:sp macro="" textlink="">
          <xdr:nvSpPr>
            <xdr:cNvPr id="1045" name="Spinner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717550</xdr:colOff>
          <xdr:row>31</xdr:row>
          <xdr:rowOff>19050</xdr:rowOff>
        </xdr:from>
        <xdr:to>
          <xdr:col>1</xdr:col>
          <xdr:colOff>914400</xdr:colOff>
          <xdr:row>31</xdr:row>
          <xdr:rowOff>266700</xdr:rowOff>
        </xdr:to>
        <xdr:sp macro="" textlink="">
          <xdr:nvSpPr>
            <xdr:cNvPr id="1046" name="Spinner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717550</xdr:colOff>
          <xdr:row>32</xdr:row>
          <xdr:rowOff>19050</xdr:rowOff>
        </xdr:from>
        <xdr:to>
          <xdr:col>1</xdr:col>
          <xdr:colOff>914400</xdr:colOff>
          <xdr:row>32</xdr:row>
          <xdr:rowOff>266700</xdr:rowOff>
        </xdr:to>
        <xdr:sp macro="" textlink="">
          <xdr:nvSpPr>
            <xdr:cNvPr id="1047" name="Spinner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21</xdr:row>
          <xdr:rowOff>38100</xdr:rowOff>
        </xdr:from>
        <xdr:to>
          <xdr:col>1</xdr:col>
          <xdr:colOff>1593850</xdr:colOff>
          <xdr:row>21</xdr:row>
          <xdr:rowOff>247650</xdr:rowOff>
        </xdr:to>
        <xdr:sp macro="" textlink="">
          <xdr:nvSpPr>
            <xdr:cNvPr id="1048" name="Drop Dow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22</xdr:row>
          <xdr:rowOff>38100</xdr:rowOff>
        </xdr:from>
        <xdr:to>
          <xdr:col>1</xdr:col>
          <xdr:colOff>1593850</xdr:colOff>
          <xdr:row>22</xdr:row>
          <xdr:rowOff>247650</xdr:rowOff>
        </xdr:to>
        <xdr:sp macro="" textlink="">
          <xdr:nvSpPr>
            <xdr:cNvPr id="1049" name="Drop Down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23</xdr:row>
          <xdr:rowOff>38100</xdr:rowOff>
        </xdr:from>
        <xdr:to>
          <xdr:col>1</xdr:col>
          <xdr:colOff>1593850</xdr:colOff>
          <xdr:row>23</xdr:row>
          <xdr:rowOff>247650</xdr:rowOff>
        </xdr:to>
        <xdr:sp macro="" textlink="">
          <xdr:nvSpPr>
            <xdr:cNvPr id="1050" name="Drop Down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24</xdr:row>
          <xdr:rowOff>38100</xdr:rowOff>
        </xdr:from>
        <xdr:to>
          <xdr:col>1</xdr:col>
          <xdr:colOff>908050</xdr:colOff>
          <xdr:row>24</xdr:row>
          <xdr:rowOff>247650</xdr:rowOff>
        </xdr:to>
        <xdr:sp macro="" textlink="">
          <xdr:nvSpPr>
            <xdr:cNvPr id="1051" name="Drop Dow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42</xdr:row>
          <xdr:rowOff>38100</xdr:rowOff>
        </xdr:from>
        <xdr:to>
          <xdr:col>1</xdr:col>
          <xdr:colOff>895350</xdr:colOff>
          <xdr:row>42</xdr:row>
          <xdr:rowOff>247650</xdr:rowOff>
        </xdr:to>
        <xdr:sp macro="" textlink="">
          <xdr:nvSpPr>
            <xdr:cNvPr id="1052" name="Drop Dow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52</xdr:row>
          <xdr:rowOff>38100</xdr:rowOff>
        </xdr:from>
        <xdr:to>
          <xdr:col>1</xdr:col>
          <xdr:colOff>895350</xdr:colOff>
          <xdr:row>52</xdr:row>
          <xdr:rowOff>247650</xdr:rowOff>
        </xdr:to>
        <xdr:sp macro="" textlink="">
          <xdr:nvSpPr>
            <xdr:cNvPr id="1053" name="Drop Dow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53</xdr:row>
          <xdr:rowOff>38100</xdr:rowOff>
        </xdr:from>
        <xdr:to>
          <xdr:col>1</xdr:col>
          <xdr:colOff>1593850</xdr:colOff>
          <xdr:row>53</xdr:row>
          <xdr:rowOff>247650</xdr:rowOff>
        </xdr:to>
        <xdr:sp macro="" textlink="">
          <xdr:nvSpPr>
            <xdr:cNvPr id="1054" name="Drop Dow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23</xdr:row>
          <xdr:rowOff>50800</xdr:rowOff>
        </xdr:from>
        <xdr:to>
          <xdr:col>2</xdr:col>
          <xdr:colOff>908050</xdr:colOff>
          <xdr:row>23</xdr:row>
          <xdr:rowOff>260350</xdr:rowOff>
        </xdr:to>
        <xdr:sp macro="" textlink="">
          <xdr:nvSpPr>
            <xdr:cNvPr id="1055" name="Drop Down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48</xdr:row>
          <xdr:rowOff>38100</xdr:rowOff>
        </xdr:from>
        <xdr:to>
          <xdr:col>1</xdr:col>
          <xdr:colOff>895350</xdr:colOff>
          <xdr:row>48</xdr:row>
          <xdr:rowOff>247650</xdr:rowOff>
        </xdr:to>
        <xdr:sp macro="" textlink="">
          <xdr:nvSpPr>
            <xdr:cNvPr id="1056" name="Drop Dow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46</xdr:row>
          <xdr:rowOff>38100</xdr:rowOff>
        </xdr:from>
        <xdr:to>
          <xdr:col>1</xdr:col>
          <xdr:colOff>895350</xdr:colOff>
          <xdr:row>46</xdr:row>
          <xdr:rowOff>247650</xdr:rowOff>
        </xdr:to>
        <xdr:sp macro="" textlink="">
          <xdr:nvSpPr>
            <xdr:cNvPr id="1057" name="Drop Dow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45</xdr:row>
          <xdr:rowOff>38100</xdr:rowOff>
        </xdr:from>
        <xdr:to>
          <xdr:col>1</xdr:col>
          <xdr:colOff>895350</xdr:colOff>
          <xdr:row>45</xdr:row>
          <xdr:rowOff>247650</xdr:rowOff>
        </xdr:to>
        <xdr:sp macro="" textlink="">
          <xdr:nvSpPr>
            <xdr:cNvPr id="1058" name="Drop Dow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45</xdr:row>
          <xdr:rowOff>38100</xdr:rowOff>
        </xdr:from>
        <xdr:to>
          <xdr:col>2</xdr:col>
          <xdr:colOff>895350</xdr:colOff>
          <xdr:row>45</xdr:row>
          <xdr:rowOff>247650</xdr:rowOff>
        </xdr:to>
        <xdr:sp macro="" textlink="">
          <xdr:nvSpPr>
            <xdr:cNvPr id="1059" name="Drop Down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46</xdr:row>
          <xdr:rowOff>38100</xdr:rowOff>
        </xdr:from>
        <xdr:to>
          <xdr:col>2</xdr:col>
          <xdr:colOff>895350</xdr:colOff>
          <xdr:row>46</xdr:row>
          <xdr:rowOff>247650</xdr:rowOff>
        </xdr:to>
        <xdr:sp macro="" textlink="">
          <xdr:nvSpPr>
            <xdr:cNvPr id="1060" name="Drop Down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57</xdr:row>
          <xdr:rowOff>38100</xdr:rowOff>
        </xdr:from>
        <xdr:to>
          <xdr:col>1</xdr:col>
          <xdr:colOff>895350</xdr:colOff>
          <xdr:row>57</xdr:row>
          <xdr:rowOff>247650</xdr:rowOff>
        </xdr:to>
        <xdr:sp macro="" textlink="">
          <xdr:nvSpPr>
            <xdr:cNvPr id="1061" name="Drop Down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59</xdr:row>
          <xdr:rowOff>38100</xdr:rowOff>
        </xdr:from>
        <xdr:to>
          <xdr:col>1</xdr:col>
          <xdr:colOff>895350</xdr:colOff>
          <xdr:row>59</xdr:row>
          <xdr:rowOff>247650</xdr:rowOff>
        </xdr:to>
        <xdr:sp macro="" textlink="">
          <xdr:nvSpPr>
            <xdr:cNvPr id="1062" name="Drop Dow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60</xdr:row>
          <xdr:rowOff>38100</xdr:rowOff>
        </xdr:from>
        <xdr:to>
          <xdr:col>1</xdr:col>
          <xdr:colOff>895350</xdr:colOff>
          <xdr:row>60</xdr:row>
          <xdr:rowOff>247650</xdr:rowOff>
        </xdr:to>
        <xdr:sp macro="" textlink="">
          <xdr:nvSpPr>
            <xdr:cNvPr id="1063" name="Drop Dow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61</xdr:row>
          <xdr:rowOff>38100</xdr:rowOff>
        </xdr:from>
        <xdr:to>
          <xdr:col>1</xdr:col>
          <xdr:colOff>895350</xdr:colOff>
          <xdr:row>61</xdr:row>
          <xdr:rowOff>247650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62</xdr:row>
          <xdr:rowOff>38100</xdr:rowOff>
        </xdr:from>
        <xdr:to>
          <xdr:col>1</xdr:col>
          <xdr:colOff>895350</xdr:colOff>
          <xdr:row>62</xdr:row>
          <xdr:rowOff>247650</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63</xdr:row>
          <xdr:rowOff>38100</xdr:rowOff>
        </xdr:from>
        <xdr:to>
          <xdr:col>1</xdr:col>
          <xdr:colOff>895350</xdr:colOff>
          <xdr:row>63</xdr:row>
          <xdr:rowOff>247650</xdr:rowOff>
        </xdr:to>
        <xdr:sp macro="" textlink="">
          <xdr:nvSpPr>
            <xdr:cNvPr id="1066" name="Drop Down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64</xdr:row>
          <xdr:rowOff>38100</xdr:rowOff>
        </xdr:from>
        <xdr:to>
          <xdr:col>1</xdr:col>
          <xdr:colOff>895350</xdr:colOff>
          <xdr:row>64</xdr:row>
          <xdr:rowOff>247650</xdr:rowOff>
        </xdr:to>
        <xdr:sp macro="" textlink="">
          <xdr:nvSpPr>
            <xdr:cNvPr id="1067" name="Drop Down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36</xdr:row>
          <xdr:rowOff>38100</xdr:rowOff>
        </xdr:from>
        <xdr:to>
          <xdr:col>1</xdr:col>
          <xdr:colOff>1593850</xdr:colOff>
          <xdr:row>36</xdr:row>
          <xdr:rowOff>247650</xdr:rowOff>
        </xdr:to>
        <xdr:sp macro="" textlink="">
          <xdr:nvSpPr>
            <xdr:cNvPr id="1068" name="Drop Down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37</xdr:row>
          <xdr:rowOff>38100</xdr:rowOff>
        </xdr:from>
        <xdr:to>
          <xdr:col>1</xdr:col>
          <xdr:colOff>895350</xdr:colOff>
          <xdr:row>37</xdr:row>
          <xdr:rowOff>247650</xdr:rowOff>
        </xdr:to>
        <xdr:sp macro="" textlink="">
          <xdr:nvSpPr>
            <xdr:cNvPr id="1069" name="Drop Down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38</xdr:row>
          <xdr:rowOff>38100</xdr:rowOff>
        </xdr:from>
        <xdr:to>
          <xdr:col>1</xdr:col>
          <xdr:colOff>895350</xdr:colOff>
          <xdr:row>38</xdr:row>
          <xdr:rowOff>247650</xdr:rowOff>
        </xdr:to>
        <xdr:sp macro="" textlink="">
          <xdr:nvSpPr>
            <xdr:cNvPr id="1070" name="Drop Dow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40</xdr:row>
          <xdr:rowOff>38100</xdr:rowOff>
        </xdr:from>
        <xdr:to>
          <xdr:col>1</xdr:col>
          <xdr:colOff>895350</xdr:colOff>
          <xdr:row>40</xdr:row>
          <xdr:rowOff>247650</xdr:rowOff>
        </xdr:to>
        <xdr:sp macro="" textlink="">
          <xdr:nvSpPr>
            <xdr:cNvPr id="1071" name="Drop Down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41</xdr:row>
          <xdr:rowOff>38100</xdr:rowOff>
        </xdr:from>
        <xdr:to>
          <xdr:col>1</xdr:col>
          <xdr:colOff>895350</xdr:colOff>
          <xdr:row>41</xdr:row>
          <xdr:rowOff>247650</xdr:rowOff>
        </xdr:to>
        <xdr:sp macro="" textlink="">
          <xdr:nvSpPr>
            <xdr:cNvPr id="1072" name="Drop Down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717550</xdr:colOff>
          <xdr:row>36</xdr:row>
          <xdr:rowOff>19050</xdr:rowOff>
        </xdr:from>
        <xdr:to>
          <xdr:col>2</xdr:col>
          <xdr:colOff>914400</xdr:colOff>
          <xdr:row>36</xdr:row>
          <xdr:rowOff>266700</xdr:rowOff>
        </xdr:to>
        <xdr:sp macro="" textlink="">
          <xdr:nvSpPr>
            <xdr:cNvPr id="1074" name="Spinner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717550</xdr:colOff>
          <xdr:row>38</xdr:row>
          <xdr:rowOff>19050</xdr:rowOff>
        </xdr:from>
        <xdr:to>
          <xdr:col>2</xdr:col>
          <xdr:colOff>914400</xdr:colOff>
          <xdr:row>38</xdr:row>
          <xdr:rowOff>266700</xdr:rowOff>
        </xdr:to>
        <xdr:sp macro="" textlink="">
          <xdr:nvSpPr>
            <xdr:cNvPr id="1076" name="Spinner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774700</xdr:colOff>
          <xdr:row>41</xdr:row>
          <xdr:rowOff>19050</xdr:rowOff>
        </xdr:from>
        <xdr:to>
          <xdr:col>2</xdr:col>
          <xdr:colOff>933450</xdr:colOff>
          <xdr:row>41</xdr:row>
          <xdr:rowOff>266700</xdr:rowOff>
        </xdr:to>
        <xdr:sp macro="" textlink="">
          <xdr:nvSpPr>
            <xdr:cNvPr id="1078" name="Spinner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49</xdr:row>
          <xdr:rowOff>38100</xdr:rowOff>
        </xdr:from>
        <xdr:to>
          <xdr:col>1</xdr:col>
          <xdr:colOff>1593850</xdr:colOff>
          <xdr:row>49</xdr:row>
          <xdr:rowOff>247650</xdr:rowOff>
        </xdr:to>
        <xdr:sp macro="" textlink="">
          <xdr:nvSpPr>
            <xdr:cNvPr id="1081" name="Drop Down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xdr:row>
          <xdr:rowOff>38100</xdr:rowOff>
        </xdr:from>
        <xdr:to>
          <xdr:col>3</xdr:col>
          <xdr:colOff>908050</xdr:colOff>
          <xdr:row>1</xdr:row>
          <xdr:rowOff>247650</xdr:rowOff>
        </xdr:to>
        <xdr:sp macro="" textlink="">
          <xdr:nvSpPr>
            <xdr:cNvPr id="1083" name="Drop Down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2</xdr:row>
          <xdr:rowOff>38100</xdr:rowOff>
        </xdr:from>
        <xdr:to>
          <xdr:col>2</xdr:col>
          <xdr:colOff>895350</xdr:colOff>
          <xdr:row>2</xdr:row>
          <xdr:rowOff>247650</xdr:rowOff>
        </xdr:to>
        <xdr:sp macro="" textlink="">
          <xdr:nvSpPr>
            <xdr:cNvPr id="1085" name="Drop Down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323850</xdr:colOff>
          <xdr:row>15</xdr:row>
          <xdr:rowOff>114300</xdr:rowOff>
        </xdr:from>
        <xdr:to>
          <xdr:col>1</xdr:col>
          <xdr:colOff>76200</xdr:colOff>
          <xdr:row>16</xdr:row>
          <xdr:rowOff>95250</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Reset Quote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33</xdr:row>
          <xdr:rowOff>38100</xdr:rowOff>
        </xdr:from>
        <xdr:to>
          <xdr:col>1</xdr:col>
          <xdr:colOff>914400</xdr:colOff>
          <xdr:row>33</xdr:row>
          <xdr:rowOff>247650</xdr:rowOff>
        </xdr:to>
        <xdr:sp macro="" textlink="">
          <xdr:nvSpPr>
            <xdr:cNvPr id="1088" name="Drop Down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2</xdr:row>
          <xdr:rowOff>38100</xdr:rowOff>
        </xdr:from>
        <xdr:to>
          <xdr:col>3</xdr:col>
          <xdr:colOff>908050</xdr:colOff>
          <xdr:row>2</xdr:row>
          <xdr:rowOff>247650</xdr:rowOff>
        </xdr:to>
        <xdr:sp macro="" textlink="">
          <xdr:nvSpPr>
            <xdr:cNvPr id="1090" name="Drop Down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xdr:row>
          <xdr:rowOff>38100</xdr:rowOff>
        </xdr:from>
        <xdr:to>
          <xdr:col>4</xdr:col>
          <xdr:colOff>908050</xdr:colOff>
          <xdr:row>2</xdr:row>
          <xdr:rowOff>247650</xdr:rowOff>
        </xdr:to>
        <xdr:sp macro="" textlink="">
          <xdr:nvSpPr>
            <xdr:cNvPr id="1091" name="Drop Down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2</xdr:row>
          <xdr:rowOff>38100</xdr:rowOff>
        </xdr:from>
        <xdr:to>
          <xdr:col>5</xdr:col>
          <xdr:colOff>908050</xdr:colOff>
          <xdr:row>2</xdr:row>
          <xdr:rowOff>247650</xdr:rowOff>
        </xdr:to>
        <xdr:sp macro="" textlink="">
          <xdr:nvSpPr>
            <xdr:cNvPr id="1092" name="Drop Down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xdr:row>
          <xdr:rowOff>38100</xdr:rowOff>
        </xdr:from>
        <xdr:to>
          <xdr:col>6</xdr:col>
          <xdr:colOff>908050</xdr:colOff>
          <xdr:row>2</xdr:row>
          <xdr:rowOff>247650</xdr:rowOff>
        </xdr:to>
        <xdr:sp macro="" textlink="">
          <xdr:nvSpPr>
            <xdr:cNvPr id="1093" name="Drop Down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717550</xdr:colOff>
          <xdr:row>39</xdr:row>
          <xdr:rowOff>19050</xdr:rowOff>
        </xdr:from>
        <xdr:to>
          <xdr:col>1</xdr:col>
          <xdr:colOff>914400</xdr:colOff>
          <xdr:row>39</xdr:row>
          <xdr:rowOff>266700</xdr:rowOff>
        </xdr:to>
        <xdr:sp macro="" textlink="">
          <xdr:nvSpPr>
            <xdr:cNvPr id="1094" name="Spinner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742950</xdr:colOff>
          <xdr:row>57</xdr:row>
          <xdr:rowOff>19050</xdr:rowOff>
        </xdr:from>
        <xdr:to>
          <xdr:col>2</xdr:col>
          <xdr:colOff>908050</xdr:colOff>
          <xdr:row>57</xdr:row>
          <xdr:rowOff>266700</xdr:rowOff>
        </xdr:to>
        <xdr:sp macro="" textlink="">
          <xdr:nvSpPr>
            <xdr:cNvPr id="1095" name="Spinner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47</xdr:row>
          <xdr:rowOff>38100</xdr:rowOff>
        </xdr:from>
        <xdr:to>
          <xdr:col>1</xdr:col>
          <xdr:colOff>895350</xdr:colOff>
          <xdr:row>47</xdr:row>
          <xdr:rowOff>247650</xdr:rowOff>
        </xdr:to>
        <xdr:sp macro="" textlink="">
          <xdr:nvSpPr>
            <xdr:cNvPr id="1096" name="Drop Down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10</xdr:row>
          <xdr:rowOff>38100</xdr:rowOff>
        </xdr:from>
        <xdr:to>
          <xdr:col>1</xdr:col>
          <xdr:colOff>908050</xdr:colOff>
          <xdr:row>10</xdr:row>
          <xdr:rowOff>247650</xdr:rowOff>
        </xdr:to>
        <xdr:sp macro="" textlink="">
          <xdr:nvSpPr>
            <xdr:cNvPr id="1097" name="Drop Down 73"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12</xdr:row>
          <xdr:rowOff>38100</xdr:rowOff>
        </xdr:from>
        <xdr:to>
          <xdr:col>1</xdr:col>
          <xdr:colOff>908050</xdr:colOff>
          <xdr:row>12</xdr:row>
          <xdr:rowOff>247650</xdr:rowOff>
        </xdr:to>
        <xdr:sp macro="" textlink="">
          <xdr:nvSpPr>
            <xdr:cNvPr id="1098" name="Drop Down 74"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361950</xdr:colOff>
          <xdr:row>15</xdr:row>
          <xdr:rowOff>107950</xdr:rowOff>
        </xdr:from>
        <xdr:to>
          <xdr:col>1</xdr:col>
          <xdr:colOff>1320800</xdr:colOff>
          <xdr:row>16</xdr:row>
          <xdr:rowOff>107950</xdr:rowOff>
        </xdr:to>
        <xdr:sp macro="" textlink="">
          <xdr:nvSpPr>
            <xdr:cNvPr id="1100" name="CommandButton1" hidden="1">
              <a:extLst>
                <a:ext uri="{63B3BB69-23CF-44E3-9099-C40C66FF867C}">
                  <a14:compatExt spid="_x0000_s1100"/>
                </a:ext>
                <a:ext uri="{FF2B5EF4-FFF2-40B4-BE49-F238E27FC236}">
                  <a16:creationId xmlns:a16="http://schemas.microsoft.com/office/drawing/2014/main" id="{00000000-0008-0000-0000-00004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3</xdr:row>
          <xdr:rowOff>12700</xdr:rowOff>
        </xdr:from>
        <xdr:to>
          <xdr:col>3</xdr:col>
          <xdr:colOff>146050</xdr:colOff>
          <xdr:row>3</xdr:row>
          <xdr:rowOff>146050</xdr:rowOff>
        </xdr:to>
        <xdr:sp macro="" textlink="">
          <xdr:nvSpPr>
            <xdr:cNvPr id="1101" name="CheckBox1"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3</xdr:row>
          <xdr:rowOff>19050</xdr:rowOff>
        </xdr:from>
        <xdr:to>
          <xdr:col>4</xdr:col>
          <xdr:colOff>139700</xdr:colOff>
          <xdr:row>3</xdr:row>
          <xdr:rowOff>146050</xdr:rowOff>
        </xdr:to>
        <xdr:sp macro="" textlink="">
          <xdr:nvSpPr>
            <xdr:cNvPr id="1102" name="CheckBox2"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12700</xdr:colOff>
          <xdr:row>3</xdr:row>
          <xdr:rowOff>19050</xdr:rowOff>
        </xdr:from>
        <xdr:to>
          <xdr:col>5</xdr:col>
          <xdr:colOff>139700</xdr:colOff>
          <xdr:row>3</xdr:row>
          <xdr:rowOff>146050</xdr:rowOff>
        </xdr:to>
        <xdr:sp macro="" textlink="">
          <xdr:nvSpPr>
            <xdr:cNvPr id="1103" name="CheckBox3"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3</xdr:row>
          <xdr:rowOff>19050</xdr:rowOff>
        </xdr:from>
        <xdr:to>
          <xdr:col>6</xdr:col>
          <xdr:colOff>139700</xdr:colOff>
          <xdr:row>3</xdr:row>
          <xdr:rowOff>146050</xdr:rowOff>
        </xdr:to>
        <xdr:sp macro="" textlink="">
          <xdr:nvSpPr>
            <xdr:cNvPr id="1104" name="CheckBox4"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4</xdr:row>
          <xdr:rowOff>19050</xdr:rowOff>
        </xdr:from>
        <xdr:to>
          <xdr:col>3</xdr:col>
          <xdr:colOff>146050</xdr:colOff>
          <xdr:row>4</xdr:row>
          <xdr:rowOff>152400</xdr:rowOff>
        </xdr:to>
        <xdr:sp macro="" textlink="">
          <xdr:nvSpPr>
            <xdr:cNvPr id="1105" name="CheckBox5"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4</xdr:row>
          <xdr:rowOff>12700</xdr:rowOff>
        </xdr:from>
        <xdr:to>
          <xdr:col>4</xdr:col>
          <xdr:colOff>146050</xdr:colOff>
          <xdr:row>4</xdr:row>
          <xdr:rowOff>146050</xdr:rowOff>
        </xdr:to>
        <xdr:sp macro="" textlink="">
          <xdr:nvSpPr>
            <xdr:cNvPr id="1106" name="CheckBox6"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12700</xdr:colOff>
          <xdr:row>4</xdr:row>
          <xdr:rowOff>12700</xdr:rowOff>
        </xdr:from>
        <xdr:to>
          <xdr:col>5</xdr:col>
          <xdr:colOff>139700</xdr:colOff>
          <xdr:row>4</xdr:row>
          <xdr:rowOff>139700</xdr:rowOff>
        </xdr:to>
        <xdr:sp macro="" textlink="">
          <xdr:nvSpPr>
            <xdr:cNvPr id="1107" name="CheckBox7" hidden="1">
              <a:extLst>
                <a:ext uri="{63B3BB69-23CF-44E3-9099-C40C66FF867C}">
                  <a14:compatExt spid="_x0000_s1107"/>
                </a:ext>
                <a:ext uri="{FF2B5EF4-FFF2-40B4-BE49-F238E27FC236}">
                  <a16:creationId xmlns:a16="http://schemas.microsoft.com/office/drawing/2014/main" id="{00000000-0008-0000-0000-00005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4</xdr:row>
          <xdr:rowOff>12700</xdr:rowOff>
        </xdr:from>
        <xdr:to>
          <xdr:col>6</xdr:col>
          <xdr:colOff>139700</xdr:colOff>
          <xdr:row>4</xdr:row>
          <xdr:rowOff>139700</xdr:rowOff>
        </xdr:to>
        <xdr:sp macro="" textlink="">
          <xdr:nvSpPr>
            <xdr:cNvPr id="1108" name="CheckBox8"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5</xdr:row>
          <xdr:rowOff>12700</xdr:rowOff>
        </xdr:from>
        <xdr:to>
          <xdr:col>3</xdr:col>
          <xdr:colOff>139700</xdr:colOff>
          <xdr:row>5</xdr:row>
          <xdr:rowOff>139700</xdr:rowOff>
        </xdr:to>
        <xdr:sp macro="" textlink="">
          <xdr:nvSpPr>
            <xdr:cNvPr id="1109" name="CheckBox9" hidden="1">
              <a:extLst>
                <a:ext uri="{63B3BB69-23CF-44E3-9099-C40C66FF867C}">
                  <a14:compatExt spid="_x0000_s1109"/>
                </a:ext>
                <a:ext uri="{FF2B5EF4-FFF2-40B4-BE49-F238E27FC236}">
                  <a16:creationId xmlns:a16="http://schemas.microsoft.com/office/drawing/2014/main" id="{00000000-0008-0000-00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5</xdr:row>
          <xdr:rowOff>12700</xdr:rowOff>
        </xdr:from>
        <xdr:to>
          <xdr:col>4</xdr:col>
          <xdr:colOff>139700</xdr:colOff>
          <xdr:row>5</xdr:row>
          <xdr:rowOff>139700</xdr:rowOff>
        </xdr:to>
        <xdr:sp macro="" textlink="">
          <xdr:nvSpPr>
            <xdr:cNvPr id="1110" name="CheckBox10" hidden="1">
              <a:extLst>
                <a:ext uri="{63B3BB69-23CF-44E3-9099-C40C66FF867C}">
                  <a14:compatExt spid="_x0000_s1110"/>
                </a:ext>
                <a:ext uri="{FF2B5EF4-FFF2-40B4-BE49-F238E27FC236}">
                  <a16:creationId xmlns:a16="http://schemas.microsoft.com/office/drawing/2014/main" id="{00000000-0008-0000-00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12700</xdr:colOff>
          <xdr:row>5</xdr:row>
          <xdr:rowOff>12700</xdr:rowOff>
        </xdr:from>
        <xdr:to>
          <xdr:col>5</xdr:col>
          <xdr:colOff>139700</xdr:colOff>
          <xdr:row>5</xdr:row>
          <xdr:rowOff>139700</xdr:rowOff>
        </xdr:to>
        <xdr:sp macro="" textlink="">
          <xdr:nvSpPr>
            <xdr:cNvPr id="1111" name="CheckBox11"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5</xdr:row>
          <xdr:rowOff>12700</xdr:rowOff>
        </xdr:from>
        <xdr:to>
          <xdr:col>6</xdr:col>
          <xdr:colOff>139700</xdr:colOff>
          <xdr:row>5</xdr:row>
          <xdr:rowOff>139700</xdr:rowOff>
        </xdr:to>
        <xdr:sp macro="" textlink="">
          <xdr:nvSpPr>
            <xdr:cNvPr id="1112" name="CheckBox12"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6</xdr:row>
          <xdr:rowOff>19050</xdr:rowOff>
        </xdr:from>
        <xdr:to>
          <xdr:col>3</xdr:col>
          <xdr:colOff>146050</xdr:colOff>
          <xdr:row>6</xdr:row>
          <xdr:rowOff>152400</xdr:rowOff>
        </xdr:to>
        <xdr:sp macro="" textlink="">
          <xdr:nvSpPr>
            <xdr:cNvPr id="1113" name="CheckBox13"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6</xdr:row>
          <xdr:rowOff>19050</xdr:rowOff>
        </xdr:from>
        <xdr:to>
          <xdr:col>4</xdr:col>
          <xdr:colOff>146050</xdr:colOff>
          <xdr:row>6</xdr:row>
          <xdr:rowOff>152400</xdr:rowOff>
        </xdr:to>
        <xdr:sp macro="" textlink="">
          <xdr:nvSpPr>
            <xdr:cNvPr id="1114" name="CheckBox14"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12700</xdr:colOff>
          <xdr:row>6</xdr:row>
          <xdr:rowOff>12700</xdr:rowOff>
        </xdr:from>
        <xdr:to>
          <xdr:col>5</xdr:col>
          <xdr:colOff>146050</xdr:colOff>
          <xdr:row>6</xdr:row>
          <xdr:rowOff>146050</xdr:rowOff>
        </xdr:to>
        <xdr:sp macro="" textlink="">
          <xdr:nvSpPr>
            <xdr:cNvPr id="1115" name="CheckBox15"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6</xdr:row>
          <xdr:rowOff>12700</xdr:rowOff>
        </xdr:from>
        <xdr:to>
          <xdr:col>6</xdr:col>
          <xdr:colOff>146050</xdr:colOff>
          <xdr:row>6</xdr:row>
          <xdr:rowOff>146050</xdr:rowOff>
        </xdr:to>
        <xdr:sp macro="" textlink="">
          <xdr:nvSpPr>
            <xdr:cNvPr id="1116" name="CheckBox16"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7</xdr:row>
          <xdr:rowOff>12700</xdr:rowOff>
        </xdr:from>
        <xdr:to>
          <xdr:col>3</xdr:col>
          <xdr:colOff>146050</xdr:colOff>
          <xdr:row>7</xdr:row>
          <xdr:rowOff>146050</xdr:rowOff>
        </xdr:to>
        <xdr:sp macro="" textlink="">
          <xdr:nvSpPr>
            <xdr:cNvPr id="1117" name="CheckBox17"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7</xdr:row>
          <xdr:rowOff>12700</xdr:rowOff>
        </xdr:from>
        <xdr:to>
          <xdr:col>4</xdr:col>
          <xdr:colOff>146050</xdr:colOff>
          <xdr:row>7</xdr:row>
          <xdr:rowOff>146050</xdr:rowOff>
        </xdr:to>
        <xdr:sp macro="" textlink="">
          <xdr:nvSpPr>
            <xdr:cNvPr id="1118" name="CheckBox18"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12700</xdr:colOff>
          <xdr:row>7</xdr:row>
          <xdr:rowOff>12700</xdr:rowOff>
        </xdr:from>
        <xdr:to>
          <xdr:col>5</xdr:col>
          <xdr:colOff>146050</xdr:colOff>
          <xdr:row>7</xdr:row>
          <xdr:rowOff>146050</xdr:rowOff>
        </xdr:to>
        <xdr:sp macro="" textlink="">
          <xdr:nvSpPr>
            <xdr:cNvPr id="1119" name="CheckBox19"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7</xdr:row>
          <xdr:rowOff>12700</xdr:rowOff>
        </xdr:from>
        <xdr:to>
          <xdr:col>6</xdr:col>
          <xdr:colOff>146050</xdr:colOff>
          <xdr:row>7</xdr:row>
          <xdr:rowOff>146050</xdr:rowOff>
        </xdr:to>
        <xdr:sp macro="" textlink="">
          <xdr:nvSpPr>
            <xdr:cNvPr id="1120" name="CheckBox20"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8</xdr:row>
          <xdr:rowOff>12700</xdr:rowOff>
        </xdr:from>
        <xdr:to>
          <xdr:col>3</xdr:col>
          <xdr:colOff>146050</xdr:colOff>
          <xdr:row>8</xdr:row>
          <xdr:rowOff>146050</xdr:rowOff>
        </xdr:to>
        <xdr:sp macro="" textlink="">
          <xdr:nvSpPr>
            <xdr:cNvPr id="1121" name="CheckBox21"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8</xdr:row>
          <xdr:rowOff>12700</xdr:rowOff>
        </xdr:from>
        <xdr:to>
          <xdr:col>4</xdr:col>
          <xdr:colOff>146050</xdr:colOff>
          <xdr:row>8</xdr:row>
          <xdr:rowOff>146050</xdr:rowOff>
        </xdr:to>
        <xdr:sp macro="" textlink="">
          <xdr:nvSpPr>
            <xdr:cNvPr id="1122" name="CheckBox22"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12700</xdr:colOff>
          <xdr:row>8</xdr:row>
          <xdr:rowOff>12700</xdr:rowOff>
        </xdr:from>
        <xdr:to>
          <xdr:col>5</xdr:col>
          <xdr:colOff>146050</xdr:colOff>
          <xdr:row>8</xdr:row>
          <xdr:rowOff>146050</xdr:rowOff>
        </xdr:to>
        <xdr:sp macro="" textlink="">
          <xdr:nvSpPr>
            <xdr:cNvPr id="1123" name="CheckBox23"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8</xdr:row>
          <xdr:rowOff>12700</xdr:rowOff>
        </xdr:from>
        <xdr:to>
          <xdr:col>6</xdr:col>
          <xdr:colOff>146050</xdr:colOff>
          <xdr:row>8</xdr:row>
          <xdr:rowOff>146050</xdr:rowOff>
        </xdr:to>
        <xdr:sp macro="" textlink="">
          <xdr:nvSpPr>
            <xdr:cNvPr id="1124" name="CheckBox24"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9</xdr:row>
          <xdr:rowOff>12700</xdr:rowOff>
        </xdr:from>
        <xdr:to>
          <xdr:col>3</xdr:col>
          <xdr:colOff>146050</xdr:colOff>
          <xdr:row>9</xdr:row>
          <xdr:rowOff>146050</xdr:rowOff>
        </xdr:to>
        <xdr:sp macro="" textlink="">
          <xdr:nvSpPr>
            <xdr:cNvPr id="1125" name="CheckBox25"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9</xdr:row>
          <xdr:rowOff>12700</xdr:rowOff>
        </xdr:from>
        <xdr:to>
          <xdr:col>4</xdr:col>
          <xdr:colOff>146050</xdr:colOff>
          <xdr:row>9</xdr:row>
          <xdr:rowOff>146050</xdr:rowOff>
        </xdr:to>
        <xdr:sp macro="" textlink="">
          <xdr:nvSpPr>
            <xdr:cNvPr id="1126" name="CheckBox26" hidden="1">
              <a:extLst>
                <a:ext uri="{63B3BB69-23CF-44E3-9099-C40C66FF867C}">
                  <a14:compatExt spid="_x0000_s1126"/>
                </a:ext>
                <a:ext uri="{FF2B5EF4-FFF2-40B4-BE49-F238E27FC236}">
                  <a16:creationId xmlns:a16="http://schemas.microsoft.com/office/drawing/2014/main" id="{00000000-0008-0000-0000-00006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12700</xdr:colOff>
          <xdr:row>9</xdr:row>
          <xdr:rowOff>12700</xdr:rowOff>
        </xdr:from>
        <xdr:to>
          <xdr:col>5</xdr:col>
          <xdr:colOff>146050</xdr:colOff>
          <xdr:row>9</xdr:row>
          <xdr:rowOff>146050</xdr:rowOff>
        </xdr:to>
        <xdr:sp macro="" textlink="">
          <xdr:nvSpPr>
            <xdr:cNvPr id="1127" name="CheckBox27" hidden="1">
              <a:extLst>
                <a:ext uri="{63B3BB69-23CF-44E3-9099-C40C66FF867C}">
                  <a14:compatExt spid="_x0000_s1127"/>
                </a:ext>
                <a:ext uri="{FF2B5EF4-FFF2-40B4-BE49-F238E27FC236}">
                  <a16:creationId xmlns:a16="http://schemas.microsoft.com/office/drawing/2014/main" id="{00000000-0008-0000-0000-00006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9</xdr:row>
          <xdr:rowOff>12700</xdr:rowOff>
        </xdr:from>
        <xdr:to>
          <xdr:col>6</xdr:col>
          <xdr:colOff>146050</xdr:colOff>
          <xdr:row>9</xdr:row>
          <xdr:rowOff>146050</xdr:rowOff>
        </xdr:to>
        <xdr:sp macro="" textlink="">
          <xdr:nvSpPr>
            <xdr:cNvPr id="1128" name="CheckBox28"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10</xdr:row>
          <xdr:rowOff>12700</xdr:rowOff>
        </xdr:from>
        <xdr:to>
          <xdr:col>3</xdr:col>
          <xdr:colOff>146050</xdr:colOff>
          <xdr:row>10</xdr:row>
          <xdr:rowOff>146050</xdr:rowOff>
        </xdr:to>
        <xdr:sp macro="" textlink="">
          <xdr:nvSpPr>
            <xdr:cNvPr id="1129" name="CheckBox29" hidden="1">
              <a:extLst>
                <a:ext uri="{63B3BB69-23CF-44E3-9099-C40C66FF867C}">
                  <a14:compatExt spid="_x0000_s1129"/>
                </a:ext>
                <a:ext uri="{FF2B5EF4-FFF2-40B4-BE49-F238E27FC236}">
                  <a16:creationId xmlns:a16="http://schemas.microsoft.com/office/drawing/2014/main" id="{00000000-0008-0000-0000-00006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10</xdr:row>
          <xdr:rowOff>12700</xdr:rowOff>
        </xdr:from>
        <xdr:to>
          <xdr:col>4</xdr:col>
          <xdr:colOff>146050</xdr:colOff>
          <xdr:row>10</xdr:row>
          <xdr:rowOff>146050</xdr:rowOff>
        </xdr:to>
        <xdr:sp macro="" textlink="">
          <xdr:nvSpPr>
            <xdr:cNvPr id="1130" name="CheckBox30"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12700</xdr:colOff>
          <xdr:row>10</xdr:row>
          <xdr:rowOff>19050</xdr:rowOff>
        </xdr:from>
        <xdr:to>
          <xdr:col>5</xdr:col>
          <xdr:colOff>146050</xdr:colOff>
          <xdr:row>10</xdr:row>
          <xdr:rowOff>152400</xdr:rowOff>
        </xdr:to>
        <xdr:sp macro="" textlink="">
          <xdr:nvSpPr>
            <xdr:cNvPr id="1131" name="CheckBox31"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10</xdr:row>
          <xdr:rowOff>12700</xdr:rowOff>
        </xdr:from>
        <xdr:to>
          <xdr:col>6</xdr:col>
          <xdr:colOff>146050</xdr:colOff>
          <xdr:row>10</xdr:row>
          <xdr:rowOff>146050</xdr:rowOff>
        </xdr:to>
        <xdr:sp macro="" textlink="">
          <xdr:nvSpPr>
            <xdr:cNvPr id="1132" name="CheckBox32"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8</xdr:row>
          <xdr:rowOff>38100</xdr:rowOff>
        </xdr:from>
        <xdr:to>
          <xdr:col>1</xdr:col>
          <xdr:colOff>908050</xdr:colOff>
          <xdr:row>8</xdr:row>
          <xdr:rowOff>247650</xdr:rowOff>
        </xdr:to>
        <xdr:sp macro="" textlink="">
          <xdr:nvSpPr>
            <xdr:cNvPr id="1133" name="Drop Dow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565150</xdr:colOff>
          <xdr:row>1</xdr:row>
          <xdr:rowOff>31750</xdr:rowOff>
        </xdr:from>
        <xdr:to>
          <xdr:col>7</xdr:col>
          <xdr:colOff>431800</xdr:colOff>
          <xdr:row>1</xdr:row>
          <xdr:rowOff>279400</xdr:rowOff>
        </xdr:to>
        <xdr:sp macro="" textlink="">
          <xdr:nvSpPr>
            <xdr:cNvPr id="1135" name="CommandButton2"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508000</xdr:colOff>
          <xdr:row>1</xdr:row>
          <xdr:rowOff>31750</xdr:rowOff>
        </xdr:from>
        <xdr:to>
          <xdr:col>6</xdr:col>
          <xdr:colOff>393700</xdr:colOff>
          <xdr:row>1</xdr:row>
          <xdr:rowOff>279400</xdr:rowOff>
        </xdr:to>
        <xdr:sp macro="" textlink="">
          <xdr:nvSpPr>
            <xdr:cNvPr id="1136" name="CommandButton3"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946150</xdr:colOff>
          <xdr:row>23</xdr:row>
          <xdr:rowOff>38100</xdr:rowOff>
        </xdr:from>
        <xdr:to>
          <xdr:col>0</xdr:col>
          <xdr:colOff>1193800</xdr:colOff>
          <xdr:row>23</xdr:row>
          <xdr:rowOff>266700</xdr:rowOff>
        </xdr:to>
        <xdr:sp macro="" textlink="">
          <xdr:nvSpPr>
            <xdr:cNvPr id="1137" name="CommandButton4"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438150</xdr:colOff>
          <xdr:row>1</xdr:row>
          <xdr:rowOff>31750</xdr:rowOff>
        </xdr:from>
        <xdr:to>
          <xdr:col>5</xdr:col>
          <xdr:colOff>323850</xdr:colOff>
          <xdr:row>1</xdr:row>
          <xdr:rowOff>279400</xdr:rowOff>
        </xdr:to>
        <xdr:sp macro="" textlink="">
          <xdr:nvSpPr>
            <xdr:cNvPr id="1138" name="CommandButton5"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1460500</xdr:colOff>
          <xdr:row>1</xdr:row>
          <xdr:rowOff>50800</xdr:rowOff>
        </xdr:from>
        <xdr:to>
          <xdr:col>1</xdr:col>
          <xdr:colOff>1644650</xdr:colOff>
          <xdr:row>1</xdr:row>
          <xdr:rowOff>254000</xdr:rowOff>
        </xdr:to>
        <xdr:sp macro="" textlink="">
          <xdr:nvSpPr>
            <xdr:cNvPr id="1139" name="CommandButton6"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622300</xdr:colOff>
          <xdr:row>1</xdr:row>
          <xdr:rowOff>31750</xdr:rowOff>
        </xdr:from>
        <xdr:to>
          <xdr:col>8</xdr:col>
          <xdr:colOff>584200</xdr:colOff>
          <xdr:row>2</xdr:row>
          <xdr:rowOff>0</xdr:rowOff>
        </xdr:to>
        <xdr:sp macro="" textlink="">
          <xdr:nvSpPr>
            <xdr:cNvPr id="1141" name="CommandButton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xdr:row>
          <xdr:rowOff>19050</xdr:rowOff>
        </xdr:from>
        <xdr:to>
          <xdr:col>0</xdr:col>
          <xdr:colOff>1270000</xdr:colOff>
          <xdr:row>2</xdr:row>
          <xdr:rowOff>6350</xdr:rowOff>
        </xdr:to>
        <xdr:sp macro="" textlink="">
          <xdr:nvSpPr>
            <xdr:cNvPr id="1142" name="CommandButton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12700</xdr:rowOff>
        </xdr:from>
        <xdr:to>
          <xdr:col>0</xdr:col>
          <xdr:colOff>1270000</xdr:colOff>
          <xdr:row>7</xdr:row>
          <xdr:rowOff>12700</xdr:rowOff>
        </xdr:to>
        <xdr:sp macro="" textlink="">
          <xdr:nvSpPr>
            <xdr:cNvPr id="1145" name="CommandButton9"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12700</xdr:rowOff>
        </xdr:from>
        <xdr:to>
          <xdr:col>0</xdr:col>
          <xdr:colOff>1270000</xdr:colOff>
          <xdr:row>8</xdr:row>
          <xdr:rowOff>12700</xdr:rowOff>
        </xdr:to>
        <xdr:sp macro="" textlink="">
          <xdr:nvSpPr>
            <xdr:cNvPr id="1146" name="CommandButton10"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4</xdr:row>
      <xdr:rowOff>9525</xdr:rowOff>
    </xdr:from>
    <xdr:to>
      <xdr:col>0</xdr:col>
      <xdr:colOff>1190625</xdr:colOff>
      <xdr:row>5</xdr:row>
      <xdr:rowOff>0</xdr:rowOff>
    </xdr:to>
    <xdr:sp macro="" textlink="">
      <xdr:nvSpPr>
        <xdr:cNvPr id="1147" name="CommandButton11" hidden="1">
          <a:extLst>
            <a:ext uri="{63B3BB69-23CF-44E3-9099-C40C66FF867C}">
              <a14:compatExt xmlns:a14="http://schemas.microsoft.com/office/drawing/2010/main" spid="_x0000_s1147"/>
            </a:ext>
            <a:ext uri="{FF2B5EF4-FFF2-40B4-BE49-F238E27FC236}">
              <a16:creationId xmlns:a16="http://schemas.microsoft.com/office/drawing/2014/main" id="{00000000-0008-0000-0000-00007B040000}"/>
            </a:ext>
          </a:extLst>
        </xdr:cNvPr>
        <xdr:cNvSpPr/>
      </xdr:nvSpPr>
      <xdr:spPr>
        <a:xfrm>
          <a:off x="0" y="0"/>
          <a:ext cx="0" cy="0"/>
        </a:xfrm>
        <a:prstGeom prst="rect">
          <a:avLst/>
        </a:prstGeom>
      </xdr:spPr>
    </xdr:sp>
    <xdr:clientData/>
  </xdr:twoCellAnchor>
  <mc:AlternateContent xmlns:mc="http://schemas.openxmlformats.org/markup-compatibility/2006">
    <mc:Choice xmlns:a14="http://schemas.microsoft.com/office/drawing/2010/main" Requires="a14">
      <xdr:twoCellAnchor editAs="oneCell">
        <xdr:from>
          <xdr:col>0</xdr:col>
          <xdr:colOff>0</xdr:colOff>
          <xdr:row>4</xdr:row>
          <xdr:rowOff>12700</xdr:rowOff>
        </xdr:from>
        <xdr:to>
          <xdr:col>0</xdr:col>
          <xdr:colOff>1270000</xdr:colOff>
          <xdr:row>5</xdr:row>
          <xdr:rowOff>12700</xdr:rowOff>
        </xdr:to>
        <xdr:sp macro="" textlink="">
          <xdr:nvSpPr>
            <xdr:cNvPr id="2" name="CommandButton11" hidden="1">
              <a:extLst>
                <a:ext uri="{63B3BB69-23CF-44E3-9099-C40C66FF867C}">
                  <a14:compatExt spid="_x0000_s1147"/>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58</xdr:row>
          <xdr:rowOff>38100</xdr:rowOff>
        </xdr:from>
        <xdr:to>
          <xdr:col>1</xdr:col>
          <xdr:colOff>1593850</xdr:colOff>
          <xdr:row>58</xdr:row>
          <xdr:rowOff>247650</xdr:rowOff>
        </xdr:to>
        <xdr:sp macro="" textlink="">
          <xdr:nvSpPr>
            <xdr:cNvPr id="1148" name="Drop Down 124" hidden="1">
              <a:extLst>
                <a:ext uri="{63B3BB69-23CF-44E3-9099-C40C66FF867C}">
                  <a14:compatExt spid="_x0000_s1148"/>
                </a:ext>
                <a:ext uri="{FF2B5EF4-FFF2-40B4-BE49-F238E27FC236}">
                  <a16:creationId xmlns:a16="http://schemas.microsoft.com/office/drawing/2014/main" id="{00000000-0008-0000-0000-00007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38100</xdr:rowOff>
        </xdr:from>
        <xdr:to>
          <xdr:col>1</xdr:col>
          <xdr:colOff>1600200</xdr:colOff>
          <xdr:row>14</xdr:row>
          <xdr:rowOff>247650</xdr:rowOff>
        </xdr:to>
        <xdr:sp macro="" textlink="">
          <xdr:nvSpPr>
            <xdr:cNvPr id="1150" name="Drop Down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6</xdr:row>
          <xdr:rowOff>38100</xdr:rowOff>
        </xdr:from>
        <xdr:to>
          <xdr:col>3</xdr:col>
          <xdr:colOff>31750</xdr:colOff>
          <xdr:row>7</xdr:row>
          <xdr:rowOff>152400</xdr:rowOff>
        </xdr:to>
        <xdr:sp macro="" textlink="">
          <xdr:nvSpPr>
            <xdr:cNvPr id="31746" name="CommandButton1" hidden="1">
              <a:extLst>
                <a:ext uri="{63B3BB69-23CF-44E3-9099-C40C66FF867C}">
                  <a14:compatExt spid="_x0000_s31746"/>
                </a:ext>
                <a:ext uri="{FF2B5EF4-FFF2-40B4-BE49-F238E27FC236}">
                  <a16:creationId xmlns:a16="http://schemas.microsoft.com/office/drawing/2014/main" id="{00000000-0008-0000-0100-00000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9526</xdr:colOff>
      <xdr:row>0</xdr:row>
      <xdr:rowOff>19050</xdr:rowOff>
    </xdr:from>
    <xdr:to>
      <xdr:col>1</xdr:col>
      <xdr:colOff>1813226</xdr:colOff>
      <xdr:row>0</xdr:row>
      <xdr:rowOff>314326</xdr:rowOff>
    </xdr:to>
    <xdr:pic>
      <xdr:nvPicPr>
        <xdr:cNvPr id="2" name="Picture 1" descr="C:\My Documents\My Pictures\Amitron Logo.gif">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rcRect/>
        <a:stretch>
          <a:fillRect/>
        </a:stretch>
      </xdr:blipFill>
      <xdr:spPr bwMode="auto">
        <a:xfrm>
          <a:off x="9526" y="19050"/>
          <a:ext cx="1803700" cy="295276"/>
        </a:xfrm>
        <a:prstGeom prst="rect">
          <a:avLst/>
        </a:prstGeom>
        <a:noFill/>
      </xdr:spPr>
    </xdr:pic>
    <xdr:clientData/>
  </xdr:twoCellAnchor>
  <xdr:oneCellAnchor>
    <xdr:from>
      <xdr:col>1</xdr:col>
      <xdr:colOff>2886075</xdr:colOff>
      <xdr:row>1</xdr:row>
      <xdr:rowOff>0</xdr:rowOff>
    </xdr:from>
    <xdr:ext cx="1306768" cy="298800"/>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886075" y="1009650"/>
          <a:ext cx="1306768" cy="29880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400">
              <a:latin typeface="Times New Roman" pitchFamily="18" charset="0"/>
              <a:cs typeface="Times New Roman" pitchFamily="18" charset="0"/>
            </a:rPr>
            <a:t>Customer</a:t>
          </a:r>
          <a:r>
            <a:rPr lang="en-US" sz="1400" baseline="0">
              <a:latin typeface="Times New Roman" pitchFamily="18" charset="0"/>
              <a:cs typeface="Times New Roman" pitchFamily="18" charset="0"/>
            </a:rPr>
            <a:t> Code</a:t>
          </a:r>
          <a:endParaRPr lang="en-US" sz="1400">
            <a:latin typeface="Times New Roman" pitchFamily="18" charset="0"/>
            <a:cs typeface="Times New Roman" pitchFamily="18" charset="0"/>
          </a:endParaRPr>
        </a:p>
      </xdr:txBody>
    </xdr:sp>
    <xdr:clientData/>
  </xdr:oneCellAnchor>
  <xdr:oneCellAnchor>
    <xdr:from>
      <xdr:col>0</xdr:col>
      <xdr:colOff>590550</xdr:colOff>
      <xdr:row>1</xdr:row>
      <xdr:rowOff>0</xdr:rowOff>
    </xdr:from>
    <xdr:ext cx="568745" cy="298800"/>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0" y="1028700"/>
          <a:ext cx="568745" cy="29880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400">
              <a:latin typeface="Times New Roman" pitchFamily="18" charset="0"/>
              <a:cs typeface="Times New Roman" pitchFamily="18" charset="0"/>
            </a:rPr>
            <a:t>Job #</a:t>
          </a:r>
        </a:p>
      </xdr:txBody>
    </xdr:sp>
    <xdr:clientData/>
  </xdr:oneCellAnchor>
  <xdr:oneCellAnchor>
    <xdr:from>
      <xdr:col>1</xdr:col>
      <xdr:colOff>0</xdr:colOff>
      <xdr:row>20</xdr:row>
      <xdr:rowOff>255901</xdr:rowOff>
    </xdr:from>
    <xdr:ext cx="653449" cy="271636"/>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608135" y="6557055"/>
          <a:ext cx="653449" cy="271636"/>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400">
              <a:latin typeface="Times New Roman" pitchFamily="18" charset="0"/>
              <a:cs typeface="Times New Roman" pitchFamily="18" charset="0"/>
            </a:rPr>
            <a:t>Notes:</a:t>
          </a:r>
        </a:p>
      </xdr:txBody>
    </xdr:sp>
    <xdr:clientData/>
  </xdr:oneCellAnchor>
  <mc:AlternateContent xmlns:mc="http://schemas.openxmlformats.org/markup-compatibility/2006">
    <mc:Choice xmlns:a14="http://schemas.microsoft.com/office/drawing/2010/main" Requires="a14">
      <xdr:twoCellAnchor editAs="oneCell">
        <xdr:from>
          <xdr:col>1</xdr:col>
          <xdr:colOff>88900</xdr:colOff>
          <xdr:row>5</xdr:row>
          <xdr:rowOff>69850</xdr:rowOff>
        </xdr:from>
        <xdr:to>
          <xdr:col>1</xdr:col>
          <xdr:colOff>254000</xdr:colOff>
          <xdr:row>5</xdr:row>
          <xdr:rowOff>241300</xdr:rowOff>
        </xdr:to>
        <xdr:sp macro="" textlink="">
          <xdr:nvSpPr>
            <xdr:cNvPr id="25601" name="CheckBox1" hidden="1">
              <a:extLst>
                <a:ext uri="{63B3BB69-23CF-44E3-9099-C40C66FF867C}">
                  <a14:compatExt spid="_x0000_s25601"/>
                </a:ext>
                <a:ext uri="{FF2B5EF4-FFF2-40B4-BE49-F238E27FC236}">
                  <a16:creationId xmlns:a16="http://schemas.microsoft.com/office/drawing/2014/main" id="{00000000-0008-0000-0200-000001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88900</xdr:colOff>
          <xdr:row>6</xdr:row>
          <xdr:rowOff>69850</xdr:rowOff>
        </xdr:from>
        <xdr:to>
          <xdr:col>1</xdr:col>
          <xdr:colOff>254000</xdr:colOff>
          <xdr:row>6</xdr:row>
          <xdr:rowOff>241300</xdr:rowOff>
        </xdr:to>
        <xdr:sp macro="" textlink="">
          <xdr:nvSpPr>
            <xdr:cNvPr id="25602" name="CheckBox2" hidden="1">
              <a:extLst>
                <a:ext uri="{63B3BB69-23CF-44E3-9099-C40C66FF867C}">
                  <a14:compatExt spid="_x0000_s25602"/>
                </a:ext>
                <a:ext uri="{FF2B5EF4-FFF2-40B4-BE49-F238E27FC236}">
                  <a16:creationId xmlns:a16="http://schemas.microsoft.com/office/drawing/2014/main" id="{00000000-0008-0000-0200-000002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88900</xdr:colOff>
          <xdr:row>7</xdr:row>
          <xdr:rowOff>69850</xdr:rowOff>
        </xdr:from>
        <xdr:to>
          <xdr:col>1</xdr:col>
          <xdr:colOff>254000</xdr:colOff>
          <xdr:row>7</xdr:row>
          <xdr:rowOff>241300</xdr:rowOff>
        </xdr:to>
        <xdr:sp macro="" textlink="">
          <xdr:nvSpPr>
            <xdr:cNvPr id="25603" name="CheckBox3" hidden="1">
              <a:extLst>
                <a:ext uri="{63B3BB69-23CF-44E3-9099-C40C66FF867C}">
                  <a14:compatExt spid="_x0000_s25603"/>
                </a:ext>
                <a:ext uri="{FF2B5EF4-FFF2-40B4-BE49-F238E27FC236}">
                  <a16:creationId xmlns:a16="http://schemas.microsoft.com/office/drawing/2014/main" id="{00000000-0008-0000-0200-000003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88900</xdr:colOff>
          <xdr:row>8</xdr:row>
          <xdr:rowOff>69850</xdr:rowOff>
        </xdr:from>
        <xdr:to>
          <xdr:col>1</xdr:col>
          <xdr:colOff>254000</xdr:colOff>
          <xdr:row>8</xdr:row>
          <xdr:rowOff>241300</xdr:rowOff>
        </xdr:to>
        <xdr:sp macro="" textlink="">
          <xdr:nvSpPr>
            <xdr:cNvPr id="25604" name="CheckBox4" hidden="1">
              <a:extLst>
                <a:ext uri="{63B3BB69-23CF-44E3-9099-C40C66FF867C}">
                  <a14:compatExt spid="_x0000_s25604"/>
                </a:ext>
                <a:ext uri="{FF2B5EF4-FFF2-40B4-BE49-F238E27FC236}">
                  <a16:creationId xmlns:a16="http://schemas.microsoft.com/office/drawing/2014/main" id="{00000000-0008-0000-0200-000004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88900</xdr:colOff>
          <xdr:row>9</xdr:row>
          <xdr:rowOff>69850</xdr:rowOff>
        </xdr:from>
        <xdr:to>
          <xdr:col>1</xdr:col>
          <xdr:colOff>254000</xdr:colOff>
          <xdr:row>9</xdr:row>
          <xdr:rowOff>241300</xdr:rowOff>
        </xdr:to>
        <xdr:sp macro="" textlink="">
          <xdr:nvSpPr>
            <xdr:cNvPr id="25605" name="CheckBox5" hidden="1">
              <a:extLst>
                <a:ext uri="{63B3BB69-23CF-44E3-9099-C40C66FF867C}">
                  <a14:compatExt spid="_x0000_s25605"/>
                </a:ext>
                <a:ext uri="{FF2B5EF4-FFF2-40B4-BE49-F238E27FC236}">
                  <a16:creationId xmlns:a16="http://schemas.microsoft.com/office/drawing/2014/main" id="{00000000-0008-0000-0200-000005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88900</xdr:colOff>
          <xdr:row>10</xdr:row>
          <xdr:rowOff>76200</xdr:rowOff>
        </xdr:from>
        <xdr:to>
          <xdr:col>1</xdr:col>
          <xdr:colOff>254000</xdr:colOff>
          <xdr:row>10</xdr:row>
          <xdr:rowOff>247650</xdr:rowOff>
        </xdr:to>
        <xdr:sp macro="" textlink="">
          <xdr:nvSpPr>
            <xdr:cNvPr id="25606" name="CheckBox6" hidden="1">
              <a:extLst>
                <a:ext uri="{63B3BB69-23CF-44E3-9099-C40C66FF867C}">
                  <a14:compatExt spid="_x0000_s25606"/>
                </a:ext>
                <a:ext uri="{FF2B5EF4-FFF2-40B4-BE49-F238E27FC236}">
                  <a16:creationId xmlns:a16="http://schemas.microsoft.com/office/drawing/2014/main" id="{00000000-0008-0000-0200-000006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15</xdr:row>
          <xdr:rowOff>76200</xdr:rowOff>
        </xdr:from>
        <xdr:to>
          <xdr:col>1</xdr:col>
          <xdr:colOff>241300</xdr:colOff>
          <xdr:row>15</xdr:row>
          <xdr:rowOff>247650</xdr:rowOff>
        </xdr:to>
        <xdr:sp macro="" textlink="">
          <xdr:nvSpPr>
            <xdr:cNvPr id="25607" name="CheckBox7" hidden="1">
              <a:extLst>
                <a:ext uri="{63B3BB69-23CF-44E3-9099-C40C66FF867C}">
                  <a14:compatExt spid="_x0000_s25607"/>
                </a:ext>
                <a:ext uri="{FF2B5EF4-FFF2-40B4-BE49-F238E27FC236}">
                  <a16:creationId xmlns:a16="http://schemas.microsoft.com/office/drawing/2014/main" id="{00000000-0008-0000-0200-000007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16</xdr:row>
          <xdr:rowOff>76200</xdr:rowOff>
        </xdr:from>
        <xdr:to>
          <xdr:col>1</xdr:col>
          <xdr:colOff>241300</xdr:colOff>
          <xdr:row>16</xdr:row>
          <xdr:rowOff>247650</xdr:rowOff>
        </xdr:to>
        <xdr:sp macro="" textlink="">
          <xdr:nvSpPr>
            <xdr:cNvPr id="25608" name="CheckBox8" hidden="1">
              <a:extLst>
                <a:ext uri="{63B3BB69-23CF-44E3-9099-C40C66FF867C}">
                  <a14:compatExt spid="_x0000_s25608"/>
                </a:ext>
                <a:ext uri="{FF2B5EF4-FFF2-40B4-BE49-F238E27FC236}">
                  <a16:creationId xmlns:a16="http://schemas.microsoft.com/office/drawing/2014/main" id="{00000000-0008-0000-0200-000008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17</xdr:row>
          <xdr:rowOff>76200</xdr:rowOff>
        </xdr:from>
        <xdr:to>
          <xdr:col>1</xdr:col>
          <xdr:colOff>241300</xdr:colOff>
          <xdr:row>17</xdr:row>
          <xdr:rowOff>247650</xdr:rowOff>
        </xdr:to>
        <xdr:sp macro="" textlink="">
          <xdr:nvSpPr>
            <xdr:cNvPr id="25609" name="CheckBox9" hidden="1">
              <a:extLst>
                <a:ext uri="{63B3BB69-23CF-44E3-9099-C40C66FF867C}">
                  <a14:compatExt spid="_x0000_s25609"/>
                </a:ext>
                <a:ext uri="{FF2B5EF4-FFF2-40B4-BE49-F238E27FC236}">
                  <a16:creationId xmlns:a16="http://schemas.microsoft.com/office/drawing/2014/main" id="{00000000-0008-0000-0200-000009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18</xdr:row>
          <xdr:rowOff>76200</xdr:rowOff>
        </xdr:from>
        <xdr:to>
          <xdr:col>1</xdr:col>
          <xdr:colOff>241300</xdr:colOff>
          <xdr:row>18</xdr:row>
          <xdr:rowOff>247650</xdr:rowOff>
        </xdr:to>
        <xdr:sp macro="" textlink="">
          <xdr:nvSpPr>
            <xdr:cNvPr id="25610" name="CheckBox10" hidden="1">
              <a:extLst>
                <a:ext uri="{63B3BB69-23CF-44E3-9099-C40C66FF867C}">
                  <a14:compatExt spid="_x0000_s25610"/>
                </a:ext>
                <a:ext uri="{FF2B5EF4-FFF2-40B4-BE49-F238E27FC236}">
                  <a16:creationId xmlns:a16="http://schemas.microsoft.com/office/drawing/2014/main" id="{00000000-0008-0000-0200-00000A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88900</xdr:colOff>
          <xdr:row>20</xdr:row>
          <xdr:rowOff>76200</xdr:rowOff>
        </xdr:from>
        <xdr:to>
          <xdr:col>1</xdr:col>
          <xdr:colOff>254000</xdr:colOff>
          <xdr:row>20</xdr:row>
          <xdr:rowOff>247650</xdr:rowOff>
        </xdr:to>
        <xdr:sp macro="" textlink="">
          <xdr:nvSpPr>
            <xdr:cNvPr id="25611" name="CheckBox11" hidden="1">
              <a:extLst>
                <a:ext uri="{63B3BB69-23CF-44E3-9099-C40C66FF867C}">
                  <a14:compatExt spid="_x0000_s25611"/>
                </a:ext>
                <a:ext uri="{FF2B5EF4-FFF2-40B4-BE49-F238E27FC236}">
                  <a16:creationId xmlns:a16="http://schemas.microsoft.com/office/drawing/2014/main" id="{00000000-0008-0000-0200-00000B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2012950</xdr:colOff>
          <xdr:row>1</xdr:row>
          <xdr:rowOff>127000</xdr:rowOff>
        </xdr:from>
        <xdr:to>
          <xdr:col>4</xdr:col>
          <xdr:colOff>0</xdr:colOff>
          <xdr:row>2</xdr:row>
          <xdr:rowOff>0</xdr:rowOff>
        </xdr:to>
        <xdr:sp macro="" textlink="">
          <xdr:nvSpPr>
            <xdr:cNvPr id="25612" name="CommandButton1" hidden="1">
              <a:extLst>
                <a:ext uri="{63B3BB69-23CF-44E3-9099-C40C66FF867C}">
                  <a14:compatExt spid="_x0000_s25612"/>
                </a:ext>
                <a:ext uri="{FF2B5EF4-FFF2-40B4-BE49-F238E27FC236}">
                  <a16:creationId xmlns:a16="http://schemas.microsoft.com/office/drawing/2014/main" id="{00000000-0008-0000-0200-00000C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oneCellAnchor>
    <xdr:from>
      <xdr:col>1</xdr:col>
      <xdr:colOff>85725</xdr:colOff>
      <xdr:row>12</xdr:row>
      <xdr:rowOff>66675</xdr:rowOff>
    </xdr:from>
    <xdr:ext cx="161925" cy="171450"/>
    <xdr:sp macro="" textlink="">
      <xdr:nvSpPr>
        <xdr:cNvPr id="18" name="CheckBox1" hidden="1">
          <a:extLst>
            <a:ext uri="{63B3BB69-23CF-44E3-9099-C40C66FF867C}">
              <a14:compatExt xmlns:a14="http://schemas.microsoft.com/office/drawing/2010/main" spid="_x0000_s24603"/>
            </a:ext>
            <a:ext uri="{FF2B5EF4-FFF2-40B4-BE49-F238E27FC236}">
              <a16:creationId xmlns:a16="http://schemas.microsoft.com/office/drawing/2014/main" id="{00000000-0008-0000-0200-000012000000}"/>
            </a:ext>
          </a:extLst>
        </xdr:cNvPr>
        <xdr:cNvSpPr/>
      </xdr:nvSpPr>
      <xdr:spPr>
        <a:xfrm>
          <a:off x="85725" y="4143375"/>
          <a:ext cx="161925" cy="171450"/>
        </a:xfrm>
        <a:prstGeom prst="rect">
          <a:avLst/>
        </a:prstGeom>
      </xdr:spPr>
    </xdr:sp>
    <xdr:clientData/>
  </xdr:oneCellAnchor>
  <xdr:oneCellAnchor>
    <xdr:from>
      <xdr:col>1</xdr:col>
      <xdr:colOff>85725</xdr:colOff>
      <xdr:row>13</xdr:row>
      <xdr:rowOff>66675</xdr:rowOff>
    </xdr:from>
    <xdr:ext cx="161925" cy="171450"/>
    <xdr:sp macro="" textlink="">
      <xdr:nvSpPr>
        <xdr:cNvPr id="19" name="CheckBox2" hidden="1">
          <a:extLst>
            <a:ext uri="{63B3BB69-23CF-44E3-9099-C40C66FF867C}">
              <a14:compatExt xmlns:a14="http://schemas.microsoft.com/office/drawing/2010/main" spid="_x0000_s24604"/>
            </a:ext>
            <a:ext uri="{FF2B5EF4-FFF2-40B4-BE49-F238E27FC236}">
              <a16:creationId xmlns:a16="http://schemas.microsoft.com/office/drawing/2014/main" id="{00000000-0008-0000-0200-000013000000}"/>
            </a:ext>
          </a:extLst>
        </xdr:cNvPr>
        <xdr:cNvSpPr/>
      </xdr:nvSpPr>
      <xdr:spPr>
        <a:xfrm>
          <a:off x="85725" y="4429125"/>
          <a:ext cx="161925" cy="171450"/>
        </a:xfrm>
        <a:prstGeom prst="rect">
          <a:avLst/>
        </a:prstGeom>
      </xdr:spPr>
    </xdr:sp>
    <xdr:clientData/>
  </xdr:oneCellAnchor>
  <xdr:oneCellAnchor>
    <xdr:from>
      <xdr:col>1</xdr:col>
      <xdr:colOff>85725</xdr:colOff>
      <xdr:row>14</xdr:row>
      <xdr:rowOff>66675</xdr:rowOff>
    </xdr:from>
    <xdr:ext cx="161925" cy="171450"/>
    <xdr:sp macro="" textlink="">
      <xdr:nvSpPr>
        <xdr:cNvPr id="20" name="CheckBox3" hidden="1">
          <a:extLst>
            <a:ext uri="{63B3BB69-23CF-44E3-9099-C40C66FF867C}">
              <a14:compatExt xmlns:a14="http://schemas.microsoft.com/office/drawing/2010/main" spid="_x0000_s24605"/>
            </a:ext>
            <a:ext uri="{FF2B5EF4-FFF2-40B4-BE49-F238E27FC236}">
              <a16:creationId xmlns:a16="http://schemas.microsoft.com/office/drawing/2014/main" id="{00000000-0008-0000-0200-000014000000}"/>
            </a:ext>
          </a:extLst>
        </xdr:cNvPr>
        <xdr:cNvSpPr/>
      </xdr:nvSpPr>
      <xdr:spPr>
        <a:xfrm>
          <a:off x="85725" y="4714875"/>
          <a:ext cx="161925" cy="171450"/>
        </a:xfrm>
        <a:prstGeom prst="rect">
          <a:avLst/>
        </a:prstGeom>
      </xdr:spPr>
    </xdr:sp>
    <xdr:clientData/>
  </xdr:oneCellAnchor>
  <xdr:oneCellAnchor>
    <xdr:from>
      <xdr:col>1</xdr:col>
      <xdr:colOff>85725</xdr:colOff>
      <xdr:row>15</xdr:row>
      <xdr:rowOff>66675</xdr:rowOff>
    </xdr:from>
    <xdr:ext cx="161925" cy="171450"/>
    <xdr:sp macro="" textlink="">
      <xdr:nvSpPr>
        <xdr:cNvPr id="21" name="CheckBox4" hidden="1">
          <a:extLst>
            <a:ext uri="{63B3BB69-23CF-44E3-9099-C40C66FF867C}">
              <a14:compatExt xmlns:a14="http://schemas.microsoft.com/office/drawing/2010/main" spid="_x0000_s24606"/>
            </a:ext>
            <a:ext uri="{FF2B5EF4-FFF2-40B4-BE49-F238E27FC236}">
              <a16:creationId xmlns:a16="http://schemas.microsoft.com/office/drawing/2014/main" id="{00000000-0008-0000-0200-000015000000}"/>
            </a:ext>
          </a:extLst>
        </xdr:cNvPr>
        <xdr:cNvSpPr/>
      </xdr:nvSpPr>
      <xdr:spPr>
        <a:xfrm>
          <a:off x="85725" y="5000625"/>
          <a:ext cx="161925" cy="171450"/>
        </a:xfrm>
        <a:prstGeom prst="rect">
          <a:avLst/>
        </a:prstGeom>
      </xdr:spPr>
    </xdr:sp>
    <xdr:clientData/>
  </xdr:oneCellAnchor>
  <xdr:oneCellAnchor>
    <xdr:from>
      <xdr:col>1</xdr:col>
      <xdr:colOff>85725</xdr:colOff>
      <xdr:row>16</xdr:row>
      <xdr:rowOff>66675</xdr:rowOff>
    </xdr:from>
    <xdr:ext cx="161925" cy="171450"/>
    <xdr:sp macro="" textlink="">
      <xdr:nvSpPr>
        <xdr:cNvPr id="22" name="CheckBox5" hidden="1">
          <a:extLst>
            <a:ext uri="{63B3BB69-23CF-44E3-9099-C40C66FF867C}">
              <a14:compatExt xmlns:a14="http://schemas.microsoft.com/office/drawing/2010/main" spid="_x0000_s24607"/>
            </a:ext>
            <a:ext uri="{FF2B5EF4-FFF2-40B4-BE49-F238E27FC236}">
              <a16:creationId xmlns:a16="http://schemas.microsoft.com/office/drawing/2014/main" id="{00000000-0008-0000-0200-000016000000}"/>
            </a:ext>
          </a:extLst>
        </xdr:cNvPr>
        <xdr:cNvSpPr/>
      </xdr:nvSpPr>
      <xdr:spPr>
        <a:xfrm>
          <a:off x="85725" y="5286375"/>
          <a:ext cx="161925" cy="171450"/>
        </a:xfrm>
        <a:prstGeom prst="rect">
          <a:avLst/>
        </a:prstGeom>
      </xdr:spPr>
    </xdr:sp>
    <xdr:clientData/>
  </xdr:oneCellAnchor>
  <xdr:oneCellAnchor>
    <xdr:from>
      <xdr:col>1</xdr:col>
      <xdr:colOff>76200</xdr:colOff>
      <xdr:row>19</xdr:row>
      <xdr:rowOff>66675</xdr:rowOff>
    </xdr:from>
    <xdr:ext cx="161925" cy="171450"/>
    <xdr:sp macro="" textlink="">
      <xdr:nvSpPr>
        <xdr:cNvPr id="23" name="CheckBox2" hidden="1">
          <a:extLst>
            <a:ext uri="{63B3BB69-23CF-44E3-9099-C40C66FF867C}">
              <a14:compatExt xmlns:a14="http://schemas.microsoft.com/office/drawing/2010/main" spid="_x0000_s24610"/>
            </a:ext>
            <a:ext uri="{FF2B5EF4-FFF2-40B4-BE49-F238E27FC236}">
              <a16:creationId xmlns:a16="http://schemas.microsoft.com/office/drawing/2014/main" id="{00000000-0008-0000-0200-000017000000}"/>
            </a:ext>
          </a:extLst>
        </xdr:cNvPr>
        <xdr:cNvSpPr/>
      </xdr:nvSpPr>
      <xdr:spPr>
        <a:xfrm>
          <a:off x="76200" y="6143625"/>
          <a:ext cx="161925" cy="171450"/>
        </a:xfrm>
        <a:prstGeom prst="rect">
          <a:avLst/>
        </a:prstGeom>
      </xdr:spPr>
    </xdr:sp>
    <xdr:clientData/>
  </xdr:oneCellAnchor>
  <xdr:oneCellAnchor>
    <xdr:from>
      <xdr:col>1</xdr:col>
      <xdr:colOff>66675</xdr:colOff>
      <xdr:row>21</xdr:row>
      <xdr:rowOff>0</xdr:rowOff>
    </xdr:from>
    <xdr:ext cx="161925" cy="171450"/>
    <xdr:sp macro="" textlink="">
      <xdr:nvSpPr>
        <xdr:cNvPr id="24" name="CheckBox3" hidden="1">
          <a:extLst>
            <a:ext uri="{63B3BB69-23CF-44E3-9099-C40C66FF867C}">
              <a14:compatExt xmlns:a14="http://schemas.microsoft.com/office/drawing/2010/main" spid="_x0000_s24611"/>
            </a:ext>
            <a:ext uri="{FF2B5EF4-FFF2-40B4-BE49-F238E27FC236}">
              <a16:creationId xmlns:a16="http://schemas.microsoft.com/office/drawing/2014/main" id="{00000000-0008-0000-0200-000018000000}"/>
            </a:ext>
          </a:extLst>
        </xdr:cNvPr>
        <xdr:cNvSpPr/>
      </xdr:nvSpPr>
      <xdr:spPr>
        <a:xfrm>
          <a:off x="66675" y="6705600"/>
          <a:ext cx="161925" cy="171450"/>
        </a:xfrm>
        <a:prstGeom prst="rect">
          <a:avLst/>
        </a:prstGeom>
      </xdr:spPr>
    </xdr:sp>
    <xdr:clientData/>
  </xdr:oneCellAnchor>
  <xdr:oneCellAnchor>
    <xdr:from>
      <xdr:col>1</xdr:col>
      <xdr:colOff>85725</xdr:colOff>
      <xdr:row>20</xdr:row>
      <xdr:rowOff>66675</xdr:rowOff>
    </xdr:from>
    <xdr:ext cx="161925" cy="171450"/>
    <xdr:sp macro="" textlink="">
      <xdr:nvSpPr>
        <xdr:cNvPr id="25" name="CheckBox5" hidden="1">
          <a:extLst>
            <a:ext uri="{63B3BB69-23CF-44E3-9099-C40C66FF867C}">
              <a14:compatExt xmlns:a14="http://schemas.microsoft.com/office/drawing/2010/main" spid="_x0000_s24613"/>
            </a:ext>
            <a:ext uri="{FF2B5EF4-FFF2-40B4-BE49-F238E27FC236}">
              <a16:creationId xmlns:a16="http://schemas.microsoft.com/office/drawing/2014/main" id="{00000000-0008-0000-0200-000019000000}"/>
            </a:ext>
          </a:extLst>
        </xdr:cNvPr>
        <xdr:cNvSpPr/>
      </xdr:nvSpPr>
      <xdr:spPr>
        <a:xfrm>
          <a:off x="85725" y="6429375"/>
          <a:ext cx="161925" cy="171450"/>
        </a:xfrm>
        <a:prstGeom prst="rect">
          <a:avLst/>
        </a:prstGeom>
      </xdr:spPr>
    </xdr:sp>
    <xdr:clientData/>
  </xdr:oneCellAnchor>
  <xdr:oneCellAnchor>
    <xdr:from>
      <xdr:col>2</xdr:col>
      <xdr:colOff>0</xdr:colOff>
      <xdr:row>5</xdr:row>
      <xdr:rowOff>66675</xdr:rowOff>
    </xdr:from>
    <xdr:ext cx="161925" cy="171450"/>
    <xdr:sp macro="" textlink="">
      <xdr:nvSpPr>
        <xdr:cNvPr id="26" name="CheckBox1" hidden="1">
          <a:extLst>
            <a:ext uri="{63B3BB69-23CF-44E3-9099-C40C66FF867C}">
              <a14:compatExt xmlns:a14="http://schemas.microsoft.com/office/drawing/2010/main" spid="_x0000_s24615"/>
            </a:ext>
            <a:ext uri="{FF2B5EF4-FFF2-40B4-BE49-F238E27FC236}">
              <a16:creationId xmlns:a16="http://schemas.microsoft.com/office/drawing/2014/main" id="{00000000-0008-0000-0200-00001A000000}"/>
            </a:ext>
          </a:extLst>
        </xdr:cNvPr>
        <xdr:cNvSpPr/>
      </xdr:nvSpPr>
      <xdr:spPr>
        <a:xfrm>
          <a:off x="3000375" y="2428875"/>
          <a:ext cx="161925" cy="171450"/>
        </a:xfrm>
        <a:prstGeom prst="rect">
          <a:avLst/>
        </a:prstGeom>
      </xdr:spPr>
    </xdr:sp>
    <xdr:clientData/>
  </xdr:oneCellAnchor>
  <xdr:oneCellAnchor>
    <xdr:from>
      <xdr:col>2</xdr:col>
      <xdr:colOff>0</xdr:colOff>
      <xdr:row>6</xdr:row>
      <xdr:rowOff>66675</xdr:rowOff>
    </xdr:from>
    <xdr:ext cx="161925" cy="171450"/>
    <xdr:sp macro="" textlink="">
      <xdr:nvSpPr>
        <xdr:cNvPr id="27" name="CheckBox2" hidden="1">
          <a:extLst>
            <a:ext uri="{63B3BB69-23CF-44E3-9099-C40C66FF867C}">
              <a14:compatExt xmlns:a14="http://schemas.microsoft.com/office/drawing/2010/main" spid="_x0000_s24616"/>
            </a:ext>
            <a:ext uri="{FF2B5EF4-FFF2-40B4-BE49-F238E27FC236}">
              <a16:creationId xmlns:a16="http://schemas.microsoft.com/office/drawing/2014/main" id="{00000000-0008-0000-0200-00001B000000}"/>
            </a:ext>
          </a:extLst>
        </xdr:cNvPr>
        <xdr:cNvSpPr/>
      </xdr:nvSpPr>
      <xdr:spPr>
        <a:xfrm>
          <a:off x="3000375" y="2714625"/>
          <a:ext cx="161925" cy="171450"/>
        </a:xfrm>
        <a:prstGeom prst="rect">
          <a:avLst/>
        </a:prstGeom>
      </xdr:spPr>
    </xdr:sp>
    <xdr:clientData/>
  </xdr:oneCellAnchor>
  <xdr:oneCellAnchor>
    <xdr:from>
      <xdr:col>2</xdr:col>
      <xdr:colOff>0</xdr:colOff>
      <xdr:row>7</xdr:row>
      <xdr:rowOff>66675</xdr:rowOff>
    </xdr:from>
    <xdr:ext cx="161925" cy="171450"/>
    <xdr:sp macro="" textlink="">
      <xdr:nvSpPr>
        <xdr:cNvPr id="28" name="CheckBox3" hidden="1">
          <a:extLst>
            <a:ext uri="{63B3BB69-23CF-44E3-9099-C40C66FF867C}">
              <a14:compatExt xmlns:a14="http://schemas.microsoft.com/office/drawing/2010/main" spid="_x0000_s24617"/>
            </a:ext>
            <a:ext uri="{FF2B5EF4-FFF2-40B4-BE49-F238E27FC236}">
              <a16:creationId xmlns:a16="http://schemas.microsoft.com/office/drawing/2014/main" id="{00000000-0008-0000-0200-00001C000000}"/>
            </a:ext>
          </a:extLst>
        </xdr:cNvPr>
        <xdr:cNvSpPr/>
      </xdr:nvSpPr>
      <xdr:spPr>
        <a:xfrm>
          <a:off x="3000375" y="3000375"/>
          <a:ext cx="161925" cy="171450"/>
        </a:xfrm>
        <a:prstGeom prst="rect">
          <a:avLst/>
        </a:prstGeom>
      </xdr:spPr>
    </xdr:sp>
    <xdr:clientData/>
  </xdr:oneCellAnchor>
  <xdr:oneCellAnchor>
    <xdr:from>
      <xdr:col>2</xdr:col>
      <xdr:colOff>0</xdr:colOff>
      <xdr:row>8</xdr:row>
      <xdr:rowOff>66675</xdr:rowOff>
    </xdr:from>
    <xdr:ext cx="161925" cy="171450"/>
    <xdr:sp macro="" textlink="">
      <xdr:nvSpPr>
        <xdr:cNvPr id="29" name="CheckBox4" hidden="1">
          <a:extLst>
            <a:ext uri="{63B3BB69-23CF-44E3-9099-C40C66FF867C}">
              <a14:compatExt xmlns:a14="http://schemas.microsoft.com/office/drawing/2010/main" spid="_x0000_s24618"/>
            </a:ext>
            <a:ext uri="{FF2B5EF4-FFF2-40B4-BE49-F238E27FC236}">
              <a16:creationId xmlns:a16="http://schemas.microsoft.com/office/drawing/2014/main" id="{00000000-0008-0000-0200-00001D000000}"/>
            </a:ext>
          </a:extLst>
        </xdr:cNvPr>
        <xdr:cNvSpPr/>
      </xdr:nvSpPr>
      <xdr:spPr>
        <a:xfrm>
          <a:off x="3000375" y="3286125"/>
          <a:ext cx="161925" cy="171450"/>
        </a:xfrm>
        <a:prstGeom prst="rect">
          <a:avLst/>
        </a:prstGeom>
      </xdr:spPr>
    </xdr:sp>
    <xdr:clientData/>
  </xdr:oneCellAnchor>
  <xdr:oneCellAnchor>
    <xdr:from>
      <xdr:col>2</xdr:col>
      <xdr:colOff>0</xdr:colOff>
      <xdr:row>9</xdr:row>
      <xdr:rowOff>66675</xdr:rowOff>
    </xdr:from>
    <xdr:ext cx="161925" cy="171450"/>
    <xdr:sp macro="" textlink="">
      <xdr:nvSpPr>
        <xdr:cNvPr id="30" name="CheckBox5" hidden="1">
          <a:extLst>
            <a:ext uri="{63B3BB69-23CF-44E3-9099-C40C66FF867C}">
              <a14:compatExt xmlns:a14="http://schemas.microsoft.com/office/drawing/2010/main" spid="_x0000_s24619"/>
            </a:ext>
            <a:ext uri="{FF2B5EF4-FFF2-40B4-BE49-F238E27FC236}">
              <a16:creationId xmlns:a16="http://schemas.microsoft.com/office/drawing/2014/main" id="{00000000-0008-0000-0200-00001E000000}"/>
            </a:ext>
          </a:extLst>
        </xdr:cNvPr>
        <xdr:cNvSpPr/>
      </xdr:nvSpPr>
      <xdr:spPr>
        <a:xfrm>
          <a:off x="3000375" y="3571875"/>
          <a:ext cx="161925" cy="171450"/>
        </a:xfrm>
        <a:prstGeom prst="rect">
          <a:avLst/>
        </a:prstGeom>
      </xdr:spPr>
    </xdr:sp>
    <xdr:clientData/>
  </xdr:oneCellAnchor>
  <xdr:oneCellAnchor>
    <xdr:from>
      <xdr:col>2</xdr:col>
      <xdr:colOff>0</xdr:colOff>
      <xdr:row>10</xdr:row>
      <xdr:rowOff>76200</xdr:rowOff>
    </xdr:from>
    <xdr:ext cx="161925" cy="171450"/>
    <xdr:sp macro="" textlink="">
      <xdr:nvSpPr>
        <xdr:cNvPr id="31" name="CheckBox6" hidden="1">
          <a:extLst>
            <a:ext uri="{63B3BB69-23CF-44E3-9099-C40C66FF867C}">
              <a14:compatExt xmlns:a14="http://schemas.microsoft.com/office/drawing/2010/main" spid="_x0000_s24620"/>
            </a:ext>
            <a:ext uri="{FF2B5EF4-FFF2-40B4-BE49-F238E27FC236}">
              <a16:creationId xmlns:a16="http://schemas.microsoft.com/office/drawing/2014/main" id="{00000000-0008-0000-0200-00001F000000}"/>
            </a:ext>
          </a:extLst>
        </xdr:cNvPr>
        <xdr:cNvSpPr/>
      </xdr:nvSpPr>
      <xdr:spPr>
        <a:xfrm>
          <a:off x="3000375" y="3867150"/>
          <a:ext cx="161925" cy="171450"/>
        </a:xfrm>
        <a:prstGeom prst="rect">
          <a:avLst/>
        </a:prstGeom>
      </xdr:spPr>
    </xdr:sp>
    <xdr:clientData/>
  </xdr:oneCellAnchor>
  <xdr:oneCellAnchor>
    <xdr:from>
      <xdr:col>2</xdr:col>
      <xdr:colOff>0</xdr:colOff>
      <xdr:row>15</xdr:row>
      <xdr:rowOff>76200</xdr:rowOff>
    </xdr:from>
    <xdr:ext cx="161925" cy="171450"/>
    <xdr:sp macro="" textlink="">
      <xdr:nvSpPr>
        <xdr:cNvPr id="32" name="CheckBox7" hidden="1">
          <a:extLst>
            <a:ext uri="{63B3BB69-23CF-44E3-9099-C40C66FF867C}">
              <a14:compatExt xmlns:a14="http://schemas.microsoft.com/office/drawing/2010/main" spid="_x0000_s24621"/>
            </a:ext>
            <a:ext uri="{FF2B5EF4-FFF2-40B4-BE49-F238E27FC236}">
              <a16:creationId xmlns:a16="http://schemas.microsoft.com/office/drawing/2014/main" id="{00000000-0008-0000-0200-000020000000}"/>
            </a:ext>
          </a:extLst>
        </xdr:cNvPr>
        <xdr:cNvSpPr/>
      </xdr:nvSpPr>
      <xdr:spPr>
        <a:xfrm>
          <a:off x="2990850" y="5010150"/>
          <a:ext cx="161925" cy="171450"/>
        </a:xfrm>
        <a:prstGeom prst="rect">
          <a:avLst/>
        </a:prstGeom>
      </xdr:spPr>
    </xdr:sp>
    <xdr:clientData/>
  </xdr:oneCellAnchor>
  <xdr:oneCellAnchor>
    <xdr:from>
      <xdr:col>2</xdr:col>
      <xdr:colOff>0</xdr:colOff>
      <xdr:row>16</xdr:row>
      <xdr:rowOff>76200</xdr:rowOff>
    </xdr:from>
    <xdr:ext cx="161925" cy="171450"/>
    <xdr:sp macro="" textlink="">
      <xdr:nvSpPr>
        <xdr:cNvPr id="33" name="CheckBox8" hidden="1">
          <a:extLst>
            <a:ext uri="{63B3BB69-23CF-44E3-9099-C40C66FF867C}">
              <a14:compatExt xmlns:a14="http://schemas.microsoft.com/office/drawing/2010/main" spid="_x0000_s24622"/>
            </a:ext>
            <a:ext uri="{FF2B5EF4-FFF2-40B4-BE49-F238E27FC236}">
              <a16:creationId xmlns:a16="http://schemas.microsoft.com/office/drawing/2014/main" id="{00000000-0008-0000-0200-000021000000}"/>
            </a:ext>
          </a:extLst>
        </xdr:cNvPr>
        <xdr:cNvSpPr/>
      </xdr:nvSpPr>
      <xdr:spPr>
        <a:xfrm>
          <a:off x="2990850" y="5295900"/>
          <a:ext cx="161925" cy="171450"/>
        </a:xfrm>
        <a:prstGeom prst="rect">
          <a:avLst/>
        </a:prstGeom>
      </xdr:spPr>
    </xdr:sp>
    <xdr:clientData/>
  </xdr:oneCellAnchor>
  <xdr:oneCellAnchor>
    <xdr:from>
      <xdr:col>2</xdr:col>
      <xdr:colOff>0</xdr:colOff>
      <xdr:row>17</xdr:row>
      <xdr:rowOff>76200</xdr:rowOff>
    </xdr:from>
    <xdr:ext cx="161925" cy="171450"/>
    <xdr:sp macro="" textlink="">
      <xdr:nvSpPr>
        <xdr:cNvPr id="34" name="CheckBox9" hidden="1">
          <a:extLst>
            <a:ext uri="{63B3BB69-23CF-44E3-9099-C40C66FF867C}">
              <a14:compatExt xmlns:a14="http://schemas.microsoft.com/office/drawing/2010/main" spid="_x0000_s24623"/>
            </a:ext>
            <a:ext uri="{FF2B5EF4-FFF2-40B4-BE49-F238E27FC236}">
              <a16:creationId xmlns:a16="http://schemas.microsoft.com/office/drawing/2014/main" id="{00000000-0008-0000-0200-000022000000}"/>
            </a:ext>
          </a:extLst>
        </xdr:cNvPr>
        <xdr:cNvSpPr/>
      </xdr:nvSpPr>
      <xdr:spPr>
        <a:xfrm>
          <a:off x="2990850" y="5581650"/>
          <a:ext cx="161925" cy="171450"/>
        </a:xfrm>
        <a:prstGeom prst="rect">
          <a:avLst/>
        </a:prstGeom>
      </xdr:spPr>
    </xdr:sp>
    <xdr:clientData/>
  </xdr:oneCellAnchor>
  <xdr:oneCellAnchor>
    <xdr:from>
      <xdr:col>2</xdr:col>
      <xdr:colOff>0</xdr:colOff>
      <xdr:row>18</xdr:row>
      <xdr:rowOff>76200</xdr:rowOff>
    </xdr:from>
    <xdr:ext cx="161925" cy="171450"/>
    <xdr:sp macro="" textlink="">
      <xdr:nvSpPr>
        <xdr:cNvPr id="35" name="CheckBox10" hidden="1">
          <a:extLst>
            <a:ext uri="{63B3BB69-23CF-44E3-9099-C40C66FF867C}">
              <a14:compatExt xmlns:a14="http://schemas.microsoft.com/office/drawing/2010/main" spid="_x0000_s24624"/>
            </a:ext>
            <a:ext uri="{FF2B5EF4-FFF2-40B4-BE49-F238E27FC236}">
              <a16:creationId xmlns:a16="http://schemas.microsoft.com/office/drawing/2014/main" id="{00000000-0008-0000-0200-000023000000}"/>
            </a:ext>
          </a:extLst>
        </xdr:cNvPr>
        <xdr:cNvSpPr/>
      </xdr:nvSpPr>
      <xdr:spPr>
        <a:xfrm>
          <a:off x="2990850" y="5867400"/>
          <a:ext cx="161925" cy="171450"/>
        </a:xfrm>
        <a:prstGeom prst="rect">
          <a:avLst/>
        </a:prstGeom>
      </xdr:spPr>
    </xdr:sp>
    <xdr:clientData/>
  </xdr:oneCellAnchor>
  <xdr:oneCellAnchor>
    <xdr:from>
      <xdr:col>2</xdr:col>
      <xdr:colOff>0</xdr:colOff>
      <xdr:row>20</xdr:row>
      <xdr:rowOff>76200</xdr:rowOff>
    </xdr:from>
    <xdr:ext cx="161925" cy="171450"/>
    <xdr:sp macro="" textlink="">
      <xdr:nvSpPr>
        <xdr:cNvPr id="36" name="CheckBox11" hidden="1">
          <a:extLst>
            <a:ext uri="{63B3BB69-23CF-44E3-9099-C40C66FF867C}">
              <a14:compatExt xmlns:a14="http://schemas.microsoft.com/office/drawing/2010/main" spid="_x0000_s24625"/>
            </a:ext>
            <a:ext uri="{FF2B5EF4-FFF2-40B4-BE49-F238E27FC236}">
              <a16:creationId xmlns:a16="http://schemas.microsoft.com/office/drawing/2014/main" id="{00000000-0008-0000-0200-000024000000}"/>
            </a:ext>
          </a:extLst>
        </xdr:cNvPr>
        <xdr:cNvSpPr/>
      </xdr:nvSpPr>
      <xdr:spPr>
        <a:xfrm>
          <a:off x="3000375" y="6438900"/>
          <a:ext cx="161925" cy="171450"/>
        </a:xfrm>
        <a:prstGeom prst="rect">
          <a:avLst/>
        </a:prstGeom>
      </xdr:spPr>
    </xdr:sp>
    <xdr:clientData/>
  </xdr:oneCellAnchor>
  <xdr:oneCellAnchor>
    <xdr:from>
      <xdr:col>2</xdr:col>
      <xdr:colOff>0</xdr:colOff>
      <xdr:row>12</xdr:row>
      <xdr:rowOff>66675</xdr:rowOff>
    </xdr:from>
    <xdr:ext cx="161925" cy="171450"/>
    <xdr:sp macro="" textlink="">
      <xdr:nvSpPr>
        <xdr:cNvPr id="37" name="CheckBox1" hidden="1">
          <a:extLst>
            <a:ext uri="{63B3BB69-23CF-44E3-9099-C40C66FF867C}">
              <a14:compatExt xmlns:a14="http://schemas.microsoft.com/office/drawing/2010/main" spid="_x0000_s24627"/>
            </a:ext>
            <a:ext uri="{FF2B5EF4-FFF2-40B4-BE49-F238E27FC236}">
              <a16:creationId xmlns:a16="http://schemas.microsoft.com/office/drawing/2014/main" id="{00000000-0008-0000-0200-000025000000}"/>
            </a:ext>
          </a:extLst>
        </xdr:cNvPr>
        <xdr:cNvSpPr/>
      </xdr:nvSpPr>
      <xdr:spPr>
        <a:xfrm>
          <a:off x="3000375" y="4143375"/>
          <a:ext cx="161925" cy="171450"/>
        </a:xfrm>
        <a:prstGeom prst="rect">
          <a:avLst/>
        </a:prstGeom>
      </xdr:spPr>
    </xdr:sp>
    <xdr:clientData/>
  </xdr:oneCellAnchor>
  <xdr:oneCellAnchor>
    <xdr:from>
      <xdr:col>2</xdr:col>
      <xdr:colOff>0</xdr:colOff>
      <xdr:row>13</xdr:row>
      <xdr:rowOff>66675</xdr:rowOff>
    </xdr:from>
    <xdr:ext cx="161925" cy="171450"/>
    <xdr:sp macro="" textlink="">
      <xdr:nvSpPr>
        <xdr:cNvPr id="38" name="CheckBox2" hidden="1">
          <a:extLst>
            <a:ext uri="{63B3BB69-23CF-44E3-9099-C40C66FF867C}">
              <a14:compatExt xmlns:a14="http://schemas.microsoft.com/office/drawing/2010/main" spid="_x0000_s24628"/>
            </a:ext>
            <a:ext uri="{FF2B5EF4-FFF2-40B4-BE49-F238E27FC236}">
              <a16:creationId xmlns:a16="http://schemas.microsoft.com/office/drawing/2014/main" id="{00000000-0008-0000-0200-000026000000}"/>
            </a:ext>
          </a:extLst>
        </xdr:cNvPr>
        <xdr:cNvSpPr/>
      </xdr:nvSpPr>
      <xdr:spPr>
        <a:xfrm>
          <a:off x="3000375" y="4429125"/>
          <a:ext cx="161925" cy="171450"/>
        </a:xfrm>
        <a:prstGeom prst="rect">
          <a:avLst/>
        </a:prstGeom>
      </xdr:spPr>
    </xdr:sp>
    <xdr:clientData/>
  </xdr:oneCellAnchor>
  <xdr:oneCellAnchor>
    <xdr:from>
      <xdr:col>2</xdr:col>
      <xdr:colOff>0</xdr:colOff>
      <xdr:row>14</xdr:row>
      <xdr:rowOff>66675</xdr:rowOff>
    </xdr:from>
    <xdr:ext cx="161925" cy="171450"/>
    <xdr:sp macro="" textlink="">
      <xdr:nvSpPr>
        <xdr:cNvPr id="39" name="CheckBox3" hidden="1">
          <a:extLst>
            <a:ext uri="{63B3BB69-23CF-44E3-9099-C40C66FF867C}">
              <a14:compatExt xmlns:a14="http://schemas.microsoft.com/office/drawing/2010/main" spid="_x0000_s24629"/>
            </a:ext>
            <a:ext uri="{FF2B5EF4-FFF2-40B4-BE49-F238E27FC236}">
              <a16:creationId xmlns:a16="http://schemas.microsoft.com/office/drawing/2014/main" id="{00000000-0008-0000-0200-000027000000}"/>
            </a:ext>
          </a:extLst>
        </xdr:cNvPr>
        <xdr:cNvSpPr/>
      </xdr:nvSpPr>
      <xdr:spPr>
        <a:xfrm>
          <a:off x="3000375" y="4714875"/>
          <a:ext cx="161925" cy="171450"/>
        </a:xfrm>
        <a:prstGeom prst="rect">
          <a:avLst/>
        </a:prstGeom>
      </xdr:spPr>
    </xdr:sp>
    <xdr:clientData/>
  </xdr:oneCellAnchor>
  <xdr:oneCellAnchor>
    <xdr:from>
      <xdr:col>2</xdr:col>
      <xdr:colOff>0</xdr:colOff>
      <xdr:row>15</xdr:row>
      <xdr:rowOff>66675</xdr:rowOff>
    </xdr:from>
    <xdr:ext cx="161925" cy="171450"/>
    <xdr:sp macro="" textlink="">
      <xdr:nvSpPr>
        <xdr:cNvPr id="40" name="CheckBox4" hidden="1">
          <a:extLst>
            <a:ext uri="{63B3BB69-23CF-44E3-9099-C40C66FF867C}">
              <a14:compatExt xmlns:a14="http://schemas.microsoft.com/office/drawing/2010/main" spid="_x0000_s24630"/>
            </a:ext>
            <a:ext uri="{FF2B5EF4-FFF2-40B4-BE49-F238E27FC236}">
              <a16:creationId xmlns:a16="http://schemas.microsoft.com/office/drawing/2014/main" id="{00000000-0008-0000-0200-000028000000}"/>
            </a:ext>
          </a:extLst>
        </xdr:cNvPr>
        <xdr:cNvSpPr/>
      </xdr:nvSpPr>
      <xdr:spPr>
        <a:xfrm>
          <a:off x="3000375" y="5000625"/>
          <a:ext cx="161925" cy="171450"/>
        </a:xfrm>
        <a:prstGeom prst="rect">
          <a:avLst/>
        </a:prstGeom>
      </xdr:spPr>
    </xdr:sp>
    <xdr:clientData/>
  </xdr:oneCellAnchor>
  <xdr:oneCellAnchor>
    <xdr:from>
      <xdr:col>2</xdr:col>
      <xdr:colOff>0</xdr:colOff>
      <xdr:row>16</xdr:row>
      <xdr:rowOff>66675</xdr:rowOff>
    </xdr:from>
    <xdr:ext cx="161925" cy="171450"/>
    <xdr:sp macro="" textlink="">
      <xdr:nvSpPr>
        <xdr:cNvPr id="41" name="CheckBox5" hidden="1">
          <a:extLst>
            <a:ext uri="{63B3BB69-23CF-44E3-9099-C40C66FF867C}">
              <a14:compatExt xmlns:a14="http://schemas.microsoft.com/office/drawing/2010/main" spid="_x0000_s24631"/>
            </a:ext>
            <a:ext uri="{FF2B5EF4-FFF2-40B4-BE49-F238E27FC236}">
              <a16:creationId xmlns:a16="http://schemas.microsoft.com/office/drawing/2014/main" id="{00000000-0008-0000-0200-000029000000}"/>
            </a:ext>
          </a:extLst>
        </xdr:cNvPr>
        <xdr:cNvSpPr/>
      </xdr:nvSpPr>
      <xdr:spPr>
        <a:xfrm>
          <a:off x="3000375" y="5286375"/>
          <a:ext cx="161925" cy="171450"/>
        </a:xfrm>
        <a:prstGeom prst="rect">
          <a:avLst/>
        </a:prstGeom>
      </xdr:spPr>
    </xdr:sp>
    <xdr:clientData/>
  </xdr:oneCellAnchor>
  <xdr:oneCellAnchor>
    <xdr:from>
      <xdr:col>2</xdr:col>
      <xdr:colOff>0</xdr:colOff>
      <xdr:row>17</xdr:row>
      <xdr:rowOff>76200</xdr:rowOff>
    </xdr:from>
    <xdr:ext cx="161925" cy="171450"/>
    <xdr:sp macro="" textlink="">
      <xdr:nvSpPr>
        <xdr:cNvPr id="42" name="CheckBox6" hidden="1">
          <a:extLst>
            <a:ext uri="{63B3BB69-23CF-44E3-9099-C40C66FF867C}">
              <a14:compatExt xmlns:a14="http://schemas.microsoft.com/office/drawing/2010/main" spid="_x0000_s24632"/>
            </a:ext>
            <a:ext uri="{FF2B5EF4-FFF2-40B4-BE49-F238E27FC236}">
              <a16:creationId xmlns:a16="http://schemas.microsoft.com/office/drawing/2014/main" id="{00000000-0008-0000-0200-00002A000000}"/>
            </a:ext>
          </a:extLst>
        </xdr:cNvPr>
        <xdr:cNvSpPr/>
      </xdr:nvSpPr>
      <xdr:spPr>
        <a:xfrm>
          <a:off x="3000375" y="5581650"/>
          <a:ext cx="161925" cy="171450"/>
        </a:xfrm>
        <a:prstGeom prst="rect">
          <a:avLst/>
        </a:prstGeom>
      </xdr:spPr>
    </xdr:sp>
    <xdr:clientData/>
  </xdr:oneCellAnchor>
  <xdr:oneCellAnchor>
    <xdr:from>
      <xdr:col>2</xdr:col>
      <xdr:colOff>0</xdr:colOff>
      <xdr:row>19</xdr:row>
      <xdr:rowOff>76200</xdr:rowOff>
    </xdr:from>
    <xdr:ext cx="161925" cy="171450"/>
    <xdr:sp macro="" textlink="">
      <xdr:nvSpPr>
        <xdr:cNvPr id="43" name="CheckBox2" hidden="1">
          <a:extLst>
            <a:ext uri="{63B3BB69-23CF-44E3-9099-C40C66FF867C}">
              <a14:compatExt xmlns:a14="http://schemas.microsoft.com/office/drawing/2010/main" spid="_x0000_s24634"/>
            </a:ext>
            <a:ext uri="{FF2B5EF4-FFF2-40B4-BE49-F238E27FC236}">
              <a16:creationId xmlns:a16="http://schemas.microsoft.com/office/drawing/2014/main" id="{00000000-0008-0000-0200-00002B000000}"/>
            </a:ext>
          </a:extLst>
        </xdr:cNvPr>
        <xdr:cNvSpPr/>
      </xdr:nvSpPr>
      <xdr:spPr>
        <a:xfrm>
          <a:off x="2981325" y="6153150"/>
          <a:ext cx="161925" cy="171450"/>
        </a:xfrm>
        <a:prstGeom prst="rect">
          <a:avLst/>
        </a:prstGeom>
      </xdr:spPr>
    </xdr:sp>
    <xdr:clientData/>
  </xdr:oneCellAnchor>
  <xdr:oneCellAnchor>
    <xdr:from>
      <xdr:col>2</xdr:col>
      <xdr:colOff>0</xdr:colOff>
      <xdr:row>21</xdr:row>
      <xdr:rowOff>0</xdr:rowOff>
    </xdr:from>
    <xdr:ext cx="161925" cy="171450"/>
    <xdr:sp macro="" textlink="">
      <xdr:nvSpPr>
        <xdr:cNvPr id="44" name="CheckBox3" hidden="1">
          <a:extLst>
            <a:ext uri="{63B3BB69-23CF-44E3-9099-C40C66FF867C}">
              <a14:compatExt xmlns:a14="http://schemas.microsoft.com/office/drawing/2010/main" spid="_x0000_s24635"/>
            </a:ext>
            <a:ext uri="{FF2B5EF4-FFF2-40B4-BE49-F238E27FC236}">
              <a16:creationId xmlns:a16="http://schemas.microsoft.com/office/drawing/2014/main" id="{00000000-0008-0000-0200-00002C000000}"/>
            </a:ext>
          </a:extLst>
        </xdr:cNvPr>
        <xdr:cNvSpPr/>
      </xdr:nvSpPr>
      <xdr:spPr>
        <a:xfrm>
          <a:off x="2990850" y="6715125"/>
          <a:ext cx="161925" cy="171450"/>
        </a:xfrm>
        <a:prstGeom prst="rect">
          <a:avLst/>
        </a:prstGeom>
      </xdr:spPr>
    </xdr:sp>
    <xdr:clientData/>
  </xdr:oneCellAnchor>
  <xdr:oneCellAnchor>
    <xdr:from>
      <xdr:col>2</xdr:col>
      <xdr:colOff>0</xdr:colOff>
      <xdr:row>20</xdr:row>
      <xdr:rowOff>66675</xdr:rowOff>
    </xdr:from>
    <xdr:ext cx="161925" cy="171450"/>
    <xdr:sp macro="" textlink="">
      <xdr:nvSpPr>
        <xdr:cNvPr id="45" name="CheckBox5" hidden="1">
          <a:extLst>
            <a:ext uri="{63B3BB69-23CF-44E3-9099-C40C66FF867C}">
              <a14:compatExt xmlns:a14="http://schemas.microsoft.com/office/drawing/2010/main" spid="_x0000_s24637"/>
            </a:ext>
            <a:ext uri="{FF2B5EF4-FFF2-40B4-BE49-F238E27FC236}">
              <a16:creationId xmlns:a16="http://schemas.microsoft.com/office/drawing/2014/main" id="{00000000-0008-0000-0200-00002D000000}"/>
            </a:ext>
          </a:extLst>
        </xdr:cNvPr>
        <xdr:cNvSpPr/>
      </xdr:nvSpPr>
      <xdr:spPr>
        <a:xfrm>
          <a:off x="3000375" y="6429375"/>
          <a:ext cx="161925" cy="171450"/>
        </a:xfrm>
        <a:prstGeom prst="rect">
          <a:avLst/>
        </a:prstGeom>
      </xdr:spPr>
    </xdr:sp>
    <xdr:clientData/>
  </xdr:oneCellAnchor>
  <xdr:oneCellAnchor>
    <xdr:from>
      <xdr:col>2</xdr:col>
      <xdr:colOff>0</xdr:colOff>
      <xdr:row>5</xdr:row>
      <xdr:rowOff>66675</xdr:rowOff>
    </xdr:from>
    <xdr:ext cx="161925" cy="171450"/>
    <xdr:sp macro="" textlink="">
      <xdr:nvSpPr>
        <xdr:cNvPr id="46" name="CheckBox1" hidden="1">
          <a:extLst>
            <a:ext uri="{63B3BB69-23CF-44E3-9099-C40C66FF867C}">
              <a14:compatExt xmlns:a14="http://schemas.microsoft.com/office/drawing/2010/main" spid="_x0000_s24639"/>
            </a:ext>
            <a:ext uri="{FF2B5EF4-FFF2-40B4-BE49-F238E27FC236}">
              <a16:creationId xmlns:a16="http://schemas.microsoft.com/office/drawing/2014/main" id="{00000000-0008-0000-0200-00002E000000}"/>
            </a:ext>
          </a:extLst>
        </xdr:cNvPr>
        <xdr:cNvSpPr/>
      </xdr:nvSpPr>
      <xdr:spPr>
        <a:xfrm>
          <a:off x="3000375" y="2428875"/>
          <a:ext cx="161925" cy="171450"/>
        </a:xfrm>
        <a:prstGeom prst="rect">
          <a:avLst/>
        </a:prstGeom>
      </xdr:spPr>
    </xdr:sp>
    <xdr:clientData/>
  </xdr:oneCellAnchor>
  <xdr:oneCellAnchor>
    <xdr:from>
      <xdr:col>2</xdr:col>
      <xdr:colOff>0</xdr:colOff>
      <xdr:row>6</xdr:row>
      <xdr:rowOff>66675</xdr:rowOff>
    </xdr:from>
    <xdr:ext cx="161925" cy="171450"/>
    <xdr:sp macro="" textlink="">
      <xdr:nvSpPr>
        <xdr:cNvPr id="47" name="CheckBox2" hidden="1">
          <a:extLst>
            <a:ext uri="{63B3BB69-23CF-44E3-9099-C40C66FF867C}">
              <a14:compatExt xmlns:a14="http://schemas.microsoft.com/office/drawing/2010/main" spid="_x0000_s24640"/>
            </a:ext>
            <a:ext uri="{FF2B5EF4-FFF2-40B4-BE49-F238E27FC236}">
              <a16:creationId xmlns:a16="http://schemas.microsoft.com/office/drawing/2014/main" id="{00000000-0008-0000-0200-00002F000000}"/>
            </a:ext>
          </a:extLst>
        </xdr:cNvPr>
        <xdr:cNvSpPr/>
      </xdr:nvSpPr>
      <xdr:spPr>
        <a:xfrm>
          <a:off x="3000375" y="2714625"/>
          <a:ext cx="161925" cy="171450"/>
        </a:xfrm>
        <a:prstGeom prst="rect">
          <a:avLst/>
        </a:prstGeom>
      </xdr:spPr>
    </xdr:sp>
    <xdr:clientData/>
  </xdr:oneCellAnchor>
  <xdr:oneCellAnchor>
    <xdr:from>
      <xdr:col>2</xdr:col>
      <xdr:colOff>0</xdr:colOff>
      <xdr:row>7</xdr:row>
      <xdr:rowOff>66675</xdr:rowOff>
    </xdr:from>
    <xdr:ext cx="161925" cy="171450"/>
    <xdr:sp macro="" textlink="">
      <xdr:nvSpPr>
        <xdr:cNvPr id="48" name="CheckBox3" hidden="1">
          <a:extLst>
            <a:ext uri="{63B3BB69-23CF-44E3-9099-C40C66FF867C}">
              <a14:compatExt xmlns:a14="http://schemas.microsoft.com/office/drawing/2010/main" spid="_x0000_s24641"/>
            </a:ext>
            <a:ext uri="{FF2B5EF4-FFF2-40B4-BE49-F238E27FC236}">
              <a16:creationId xmlns:a16="http://schemas.microsoft.com/office/drawing/2014/main" id="{00000000-0008-0000-0200-000030000000}"/>
            </a:ext>
          </a:extLst>
        </xdr:cNvPr>
        <xdr:cNvSpPr/>
      </xdr:nvSpPr>
      <xdr:spPr>
        <a:xfrm>
          <a:off x="3000375" y="3000375"/>
          <a:ext cx="161925" cy="171450"/>
        </a:xfrm>
        <a:prstGeom prst="rect">
          <a:avLst/>
        </a:prstGeom>
      </xdr:spPr>
    </xdr:sp>
    <xdr:clientData/>
  </xdr:oneCellAnchor>
  <xdr:oneCellAnchor>
    <xdr:from>
      <xdr:col>2</xdr:col>
      <xdr:colOff>0</xdr:colOff>
      <xdr:row>8</xdr:row>
      <xdr:rowOff>66675</xdr:rowOff>
    </xdr:from>
    <xdr:ext cx="161925" cy="171450"/>
    <xdr:sp macro="" textlink="">
      <xdr:nvSpPr>
        <xdr:cNvPr id="49" name="CheckBox4" hidden="1">
          <a:extLst>
            <a:ext uri="{63B3BB69-23CF-44E3-9099-C40C66FF867C}">
              <a14:compatExt xmlns:a14="http://schemas.microsoft.com/office/drawing/2010/main" spid="_x0000_s24642"/>
            </a:ext>
            <a:ext uri="{FF2B5EF4-FFF2-40B4-BE49-F238E27FC236}">
              <a16:creationId xmlns:a16="http://schemas.microsoft.com/office/drawing/2014/main" id="{00000000-0008-0000-0200-000031000000}"/>
            </a:ext>
          </a:extLst>
        </xdr:cNvPr>
        <xdr:cNvSpPr/>
      </xdr:nvSpPr>
      <xdr:spPr>
        <a:xfrm>
          <a:off x="3000375" y="3286125"/>
          <a:ext cx="161925" cy="171450"/>
        </a:xfrm>
        <a:prstGeom prst="rect">
          <a:avLst/>
        </a:prstGeom>
      </xdr:spPr>
    </xdr:sp>
    <xdr:clientData/>
  </xdr:oneCellAnchor>
  <xdr:oneCellAnchor>
    <xdr:from>
      <xdr:col>2</xdr:col>
      <xdr:colOff>0</xdr:colOff>
      <xdr:row>9</xdr:row>
      <xdr:rowOff>66675</xdr:rowOff>
    </xdr:from>
    <xdr:ext cx="161925" cy="171450"/>
    <xdr:sp macro="" textlink="">
      <xdr:nvSpPr>
        <xdr:cNvPr id="50" name="CheckBox5" hidden="1">
          <a:extLst>
            <a:ext uri="{63B3BB69-23CF-44E3-9099-C40C66FF867C}">
              <a14:compatExt xmlns:a14="http://schemas.microsoft.com/office/drawing/2010/main" spid="_x0000_s24643"/>
            </a:ext>
            <a:ext uri="{FF2B5EF4-FFF2-40B4-BE49-F238E27FC236}">
              <a16:creationId xmlns:a16="http://schemas.microsoft.com/office/drawing/2014/main" id="{00000000-0008-0000-0200-000032000000}"/>
            </a:ext>
          </a:extLst>
        </xdr:cNvPr>
        <xdr:cNvSpPr/>
      </xdr:nvSpPr>
      <xdr:spPr>
        <a:xfrm>
          <a:off x="3000375" y="3571875"/>
          <a:ext cx="161925" cy="171450"/>
        </a:xfrm>
        <a:prstGeom prst="rect">
          <a:avLst/>
        </a:prstGeom>
      </xdr:spPr>
    </xdr:sp>
    <xdr:clientData/>
  </xdr:oneCellAnchor>
  <xdr:oneCellAnchor>
    <xdr:from>
      <xdr:col>2</xdr:col>
      <xdr:colOff>0</xdr:colOff>
      <xdr:row>10</xdr:row>
      <xdr:rowOff>76200</xdr:rowOff>
    </xdr:from>
    <xdr:ext cx="161925" cy="171450"/>
    <xdr:sp macro="" textlink="">
      <xdr:nvSpPr>
        <xdr:cNvPr id="51" name="CheckBox6" hidden="1">
          <a:extLst>
            <a:ext uri="{63B3BB69-23CF-44E3-9099-C40C66FF867C}">
              <a14:compatExt xmlns:a14="http://schemas.microsoft.com/office/drawing/2010/main" spid="_x0000_s24644"/>
            </a:ext>
            <a:ext uri="{FF2B5EF4-FFF2-40B4-BE49-F238E27FC236}">
              <a16:creationId xmlns:a16="http://schemas.microsoft.com/office/drawing/2014/main" id="{00000000-0008-0000-0200-000033000000}"/>
            </a:ext>
          </a:extLst>
        </xdr:cNvPr>
        <xdr:cNvSpPr/>
      </xdr:nvSpPr>
      <xdr:spPr>
        <a:xfrm>
          <a:off x="3000375" y="3867150"/>
          <a:ext cx="161925" cy="171450"/>
        </a:xfrm>
        <a:prstGeom prst="rect">
          <a:avLst/>
        </a:prstGeom>
      </xdr:spPr>
    </xdr:sp>
    <xdr:clientData/>
  </xdr:oneCellAnchor>
  <xdr:oneCellAnchor>
    <xdr:from>
      <xdr:col>2</xdr:col>
      <xdr:colOff>0</xdr:colOff>
      <xdr:row>15</xdr:row>
      <xdr:rowOff>76200</xdr:rowOff>
    </xdr:from>
    <xdr:ext cx="161925" cy="171450"/>
    <xdr:sp macro="" textlink="">
      <xdr:nvSpPr>
        <xdr:cNvPr id="52" name="CheckBox7" hidden="1">
          <a:extLst>
            <a:ext uri="{63B3BB69-23CF-44E3-9099-C40C66FF867C}">
              <a14:compatExt xmlns:a14="http://schemas.microsoft.com/office/drawing/2010/main" spid="_x0000_s24645"/>
            </a:ext>
            <a:ext uri="{FF2B5EF4-FFF2-40B4-BE49-F238E27FC236}">
              <a16:creationId xmlns:a16="http://schemas.microsoft.com/office/drawing/2014/main" id="{00000000-0008-0000-0200-000034000000}"/>
            </a:ext>
          </a:extLst>
        </xdr:cNvPr>
        <xdr:cNvSpPr/>
      </xdr:nvSpPr>
      <xdr:spPr>
        <a:xfrm>
          <a:off x="2990850" y="5010150"/>
          <a:ext cx="161925" cy="171450"/>
        </a:xfrm>
        <a:prstGeom prst="rect">
          <a:avLst/>
        </a:prstGeom>
      </xdr:spPr>
    </xdr:sp>
    <xdr:clientData/>
  </xdr:oneCellAnchor>
  <xdr:oneCellAnchor>
    <xdr:from>
      <xdr:col>2</xdr:col>
      <xdr:colOff>0</xdr:colOff>
      <xdr:row>12</xdr:row>
      <xdr:rowOff>66675</xdr:rowOff>
    </xdr:from>
    <xdr:ext cx="161925" cy="171450"/>
    <xdr:sp macro="" textlink="">
      <xdr:nvSpPr>
        <xdr:cNvPr id="53" name="CheckBox1" hidden="1">
          <a:extLst>
            <a:ext uri="{63B3BB69-23CF-44E3-9099-C40C66FF867C}">
              <a14:compatExt xmlns:a14="http://schemas.microsoft.com/office/drawing/2010/main" spid="_x0000_s24646"/>
            </a:ext>
            <a:ext uri="{FF2B5EF4-FFF2-40B4-BE49-F238E27FC236}">
              <a16:creationId xmlns:a16="http://schemas.microsoft.com/office/drawing/2014/main" id="{00000000-0008-0000-0200-000035000000}"/>
            </a:ext>
          </a:extLst>
        </xdr:cNvPr>
        <xdr:cNvSpPr/>
      </xdr:nvSpPr>
      <xdr:spPr>
        <a:xfrm>
          <a:off x="3000375" y="4143375"/>
          <a:ext cx="161925" cy="171450"/>
        </a:xfrm>
        <a:prstGeom prst="rect">
          <a:avLst/>
        </a:prstGeom>
      </xdr:spPr>
    </xdr:sp>
    <xdr:clientData/>
  </xdr:oneCellAnchor>
  <xdr:oneCellAnchor>
    <xdr:from>
      <xdr:col>2</xdr:col>
      <xdr:colOff>0</xdr:colOff>
      <xdr:row>13</xdr:row>
      <xdr:rowOff>66675</xdr:rowOff>
    </xdr:from>
    <xdr:ext cx="161925" cy="171450"/>
    <xdr:sp macro="" textlink="">
      <xdr:nvSpPr>
        <xdr:cNvPr id="54" name="CheckBox2" hidden="1">
          <a:extLst>
            <a:ext uri="{63B3BB69-23CF-44E3-9099-C40C66FF867C}">
              <a14:compatExt xmlns:a14="http://schemas.microsoft.com/office/drawing/2010/main" spid="_x0000_s24647"/>
            </a:ext>
            <a:ext uri="{FF2B5EF4-FFF2-40B4-BE49-F238E27FC236}">
              <a16:creationId xmlns:a16="http://schemas.microsoft.com/office/drawing/2014/main" id="{00000000-0008-0000-0200-000036000000}"/>
            </a:ext>
          </a:extLst>
        </xdr:cNvPr>
        <xdr:cNvSpPr/>
      </xdr:nvSpPr>
      <xdr:spPr>
        <a:xfrm>
          <a:off x="3000375" y="4429125"/>
          <a:ext cx="161925" cy="171450"/>
        </a:xfrm>
        <a:prstGeom prst="rect">
          <a:avLst/>
        </a:prstGeom>
      </xdr:spPr>
    </xdr:sp>
    <xdr:clientData/>
  </xdr:oneCellAnchor>
  <xdr:oneCellAnchor>
    <xdr:from>
      <xdr:col>2</xdr:col>
      <xdr:colOff>0</xdr:colOff>
      <xdr:row>14</xdr:row>
      <xdr:rowOff>66675</xdr:rowOff>
    </xdr:from>
    <xdr:ext cx="161925" cy="171450"/>
    <xdr:sp macro="" textlink="">
      <xdr:nvSpPr>
        <xdr:cNvPr id="55" name="CheckBox3" hidden="1">
          <a:extLst>
            <a:ext uri="{63B3BB69-23CF-44E3-9099-C40C66FF867C}">
              <a14:compatExt xmlns:a14="http://schemas.microsoft.com/office/drawing/2010/main" spid="_x0000_s24648"/>
            </a:ext>
            <a:ext uri="{FF2B5EF4-FFF2-40B4-BE49-F238E27FC236}">
              <a16:creationId xmlns:a16="http://schemas.microsoft.com/office/drawing/2014/main" id="{00000000-0008-0000-0200-000037000000}"/>
            </a:ext>
          </a:extLst>
        </xdr:cNvPr>
        <xdr:cNvSpPr/>
      </xdr:nvSpPr>
      <xdr:spPr>
        <a:xfrm>
          <a:off x="3000375" y="4714875"/>
          <a:ext cx="161925" cy="171450"/>
        </a:xfrm>
        <a:prstGeom prst="rect">
          <a:avLst/>
        </a:prstGeom>
      </xdr:spPr>
    </xdr:sp>
    <xdr:clientData/>
  </xdr:oneCellAnchor>
  <xdr:oneCellAnchor>
    <xdr:from>
      <xdr:col>2</xdr:col>
      <xdr:colOff>0</xdr:colOff>
      <xdr:row>15</xdr:row>
      <xdr:rowOff>66675</xdr:rowOff>
    </xdr:from>
    <xdr:ext cx="161925" cy="171450"/>
    <xdr:sp macro="" textlink="">
      <xdr:nvSpPr>
        <xdr:cNvPr id="56" name="CheckBox4" hidden="1">
          <a:extLst>
            <a:ext uri="{63B3BB69-23CF-44E3-9099-C40C66FF867C}">
              <a14:compatExt xmlns:a14="http://schemas.microsoft.com/office/drawing/2010/main" spid="_x0000_s24649"/>
            </a:ext>
            <a:ext uri="{FF2B5EF4-FFF2-40B4-BE49-F238E27FC236}">
              <a16:creationId xmlns:a16="http://schemas.microsoft.com/office/drawing/2014/main" id="{00000000-0008-0000-0200-000038000000}"/>
            </a:ext>
          </a:extLst>
        </xdr:cNvPr>
        <xdr:cNvSpPr/>
      </xdr:nvSpPr>
      <xdr:spPr>
        <a:xfrm>
          <a:off x="3000375" y="5000625"/>
          <a:ext cx="161925" cy="171450"/>
        </a:xfrm>
        <a:prstGeom prst="rect">
          <a:avLst/>
        </a:prstGeom>
      </xdr:spPr>
    </xdr:sp>
    <xdr:clientData/>
  </xdr:oneCellAnchor>
  <xdr:oneCellAnchor>
    <xdr:from>
      <xdr:col>2</xdr:col>
      <xdr:colOff>0</xdr:colOff>
      <xdr:row>15</xdr:row>
      <xdr:rowOff>76200</xdr:rowOff>
    </xdr:from>
    <xdr:ext cx="161925" cy="171450"/>
    <xdr:sp macro="" textlink="">
      <xdr:nvSpPr>
        <xdr:cNvPr id="57" name="CheckBox7" hidden="1">
          <a:extLst>
            <a:ext uri="{63B3BB69-23CF-44E3-9099-C40C66FF867C}">
              <a14:compatExt xmlns:a14="http://schemas.microsoft.com/office/drawing/2010/main" spid="_x0000_s24650"/>
            </a:ext>
            <a:ext uri="{FF2B5EF4-FFF2-40B4-BE49-F238E27FC236}">
              <a16:creationId xmlns:a16="http://schemas.microsoft.com/office/drawing/2014/main" id="{00000000-0008-0000-0200-000039000000}"/>
            </a:ext>
          </a:extLst>
        </xdr:cNvPr>
        <xdr:cNvSpPr/>
      </xdr:nvSpPr>
      <xdr:spPr>
        <a:xfrm>
          <a:off x="2990850" y="5010150"/>
          <a:ext cx="161925" cy="171450"/>
        </a:xfrm>
        <a:prstGeom prst="rect">
          <a:avLst/>
        </a:prstGeom>
      </xdr:spPr>
    </xdr:sp>
    <xdr:clientData/>
  </xdr:oneCellAnchor>
  <xdr:oneCellAnchor>
    <xdr:from>
      <xdr:col>2</xdr:col>
      <xdr:colOff>0</xdr:colOff>
      <xdr:row>16</xdr:row>
      <xdr:rowOff>76200</xdr:rowOff>
    </xdr:from>
    <xdr:ext cx="161925" cy="171450"/>
    <xdr:sp macro="" textlink="">
      <xdr:nvSpPr>
        <xdr:cNvPr id="58" name="CheckBox8" hidden="1">
          <a:extLst>
            <a:ext uri="{63B3BB69-23CF-44E3-9099-C40C66FF867C}">
              <a14:compatExt xmlns:a14="http://schemas.microsoft.com/office/drawing/2010/main" spid="_x0000_s24651"/>
            </a:ext>
            <a:ext uri="{FF2B5EF4-FFF2-40B4-BE49-F238E27FC236}">
              <a16:creationId xmlns:a16="http://schemas.microsoft.com/office/drawing/2014/main" id="{00000000-0008-0000-0200-00003A000000}"/>
            </a:ext>
          </a:extLst>
        </xdr:cNvPr>
        <xdr:cNvSpPr/>
      </xdr:nvSpPr>
      <xdr:spPr>
        <a:xfrm>
          <a:off x="2990850" y="5295900"/>
          <a:ext cx="161925" cy="171450"/>
        </a:xfrm>
        <a:prstGeom prst="rect">
          <a:avLst/>
        </a:prstGeom>
      </xdr:spPr>
    </xdr:sp>
    <xdr:clientData/>
  </xdr:oneCellAnchor>
  <xdr:oneCellAnchor>
    <xdr:from>
      <xdr:col>2</xdr:col>
      <xdr:colOff>0</xdr:colOff>
      <xdr:row>17</xdr:row>
      <xdr:rowOff>76200</xdr:rowOff>
    </xdr:from>
    <xdr:ext cx="161925" cy="171450"/>
    <xdr:sp macro="" textlink="">
      <xdr:nvSpPr>
        <xdr:cNvPr id="59" name="CheckBox9" hidden="1">
          <a:extLst>
            <a:ext uri="{63B3BB69-23CF-44E3-9099-C40C66FF867C}">
              <a14:compatExt xmlns:a14="http://schemas.microsoft.com/office/drawing/2010/main" spid="_x0000_s24652"/>
            </a:ext>
            <a:ext uri="{FF2B5EF4-FFF2-40B4-BE49-F238E27FC236}">
              <a16:creationId xmlns:a16="http://schemas.microsoft.com/office/drawing/2014/main" id="{00000000-0008-0000-0200-00003B000000}"/>
            </a:ext>
          </a:extLst>
        </xdr:cNvPr>
        <xdr:cNvSpPr/>
      </xdr:nvSpPr>
      <xdr:spPr>
        <a:xfrm>
          <a:off x="2990850" y="5581650"/>
          <a:ext cx="161925" cy="171450"/>
        </a:xfrm>
        <a:prstGeom prst="rect">
          <a:avLst/>
        </a:prstGeom>
      </xdr:spPr>
    </xdr:sp>
    <xdr:clientData/>
  </xdr:oneCellAnchor>
  <xdr:oneCellAnchor>
    <xdr:from>
      <xdr:col>2</xdr:col>
      <xdr:colOff>0</xdr:colOff>
      <xdr:row>15</xdr:row>
      <xdr:rowOff>66675</xdr:rowOff>
    </xdr:from>
    <xdr:ext cx="161925" cy="171450"/>
    <xdr:sp macro="" textlink="">
      <xdr:nvSpPr>
        <xdr:cNvPr id="60" name="CheckBox4" hidden="1">
          <a:extLst>
            <a:ext uri="{63B3BB69-23CF-44E3-9099-C40C66FF867C}">
              <a14:compatExt xmlns:a14="http://schemas.microsoft.com/office/drawing/2010/main" spid="_x0000_s24653"/>
            </a:ext>
            <a:ext uri="{FF2B5EF4-FFF2-40B4-BE49-F238E27FC236}">
              <a16:creationId xmlns:a16="http://schemas.microsoft.com/office/drawing/2014/main" id="{00000000-0008-0000-0200-00003C000000}"/>
            </a:ext>
          </a:extLst>
        </xdr:cNvPr>
        <xdr:cNvSpPr/>
      </xdr:nvSpPr>
      <xdr:spPr>
        <a:xfrm>
          <a:off x="3000375" y="5000625"/>
          <a:ext cx="161925" cy="171450"/>
        </a:xfrm>
        <a:prstGeom prst="rect">
          <a:avLst/>
        </a:prstGeom>
      </xdr:spPr>
    </xdr:sp>
    <xdr:clientData/>
  </xdr:oneCellAnchor>
  <xdr:oneCellAnchor>
    <xdr:from>
      <xdr:col>2</xdr:col>
      <xdr:colOff>0</xdr:colOff>
      <xdr:row>16</xdr:row>
      <xdr:rowOff>66675</xdr:rowOff>
    </xdr:from>
    <xdr:ext cx="161925" cy="171450"/>
    <xdr:sp macro="" textlink="">
      <xdr:nvSpPr>
        <xdr:cNvPr id="61" name="CheckBox5" hidden="1">
          <a:extLst>
            <a:ext uri="{63B3BB69-23CF-44E3-9099-C40C66FF867C}">
              <a14:compatExt xmlns:a14="http://schemas.microsoft.com/office/drawing/2010/main" spid="_x0000_s24654"/>
            </a:ext>
            <a:ext uri="{FF2B5EF4-FFF2-40B4-BE49-F238E27FC236}">
              <a16:creationId xmlns:a16="http://schemas.microsoft.com/office/drawing/2014/main" id="{00000000-0008-0000-0200-00003D000000}"/>
            </a:ext>
          </a:extLst>
        </xdr:cNvPr>
        <xdr:cNvSpPr/>
      </xdr:nvSpPr>
      <xdr:spPr>
        <a:xfrm>
          <a:off x="3000375" y="5286375"/>
          <a:ext cx="161925" cy="171450"/>
        </a:xfrm>
        <a:prstGeom prst="rect">
          <a:avLst/>
        </a:prstGeom>
      </xdr:spPr>
    </xdr:sp>
    <xdr:clientData/>
  </xdr:oneCellAnchor>
  <xdr:oneCellAnchor>
    <xdr:from>
      <xdr:col>2</xdr:col>
      <xdr:colOff>0</xdr:colOff>
      <xdr:row>17</xdr:row>
      <xdr:rowOff>76200</xdr:rowOff>
    </xdr:from>
    <xdr:ext cx="161925" cy="171450"/>
    <xdr:sp macro="" textlink="">
      <xdr:nvSpPr>
        <xdr:cNvPr id="62" name="CheckBox6" hidden="1">
          <a:extLst>
            <a:ext uri="{63B3BB69-23CF-44E3-9099-C40C66FF867C}">
              <a14:compatExt xmlns:a14="http://schemas.microsoft.com/office/drawing/2010/main" spid="_x0000_s24655"/>
            </a:ext>
            <a:ext uri="{FF2B5EF4-FFF2-40B4-BE49-F238E27FC236}">
              <a16:creationId xmlns:a16="http://schemas.microsoft.com/office/drawing/2014/main" id="{00000000-0008-0000-0200-00003E000000}"/>
            </a:ext>
          </a:extLst>
        </xdr:cNvPr>
        <xdr:cNvSpPr/>
      </xdr:nvSpPr>
      <xdr:spPr>
        <a:xfrm>
          <a:off x="3000375" y="5581650"/>
          <a:ext cx="161925" cy="171450"/>
        </a:xfrm>
        <a:prstGeom prst="rect">
          <a:avLst/>
        </a:prstGeom>
      </xdr:spPr>
    </xdr:sp>
    <xdr:clientData/>
  </xdr:oneCellAnchor>
  <xdr:oneCellAnchor>
    <xdr:from>
      <xdr:col>1</xdr:col>
      <xdr:colOff>85725</xdr:colOff>
      <xdr:row>12</xdr:row>
      <xdr:rowOff>66675</xdr:rowOff>
    </xdr:from>
    <xdr:ext cx="161925" cy="171450"/>
    <xdr:sp macro="" textlink="">
      <xdr:nvSpPr>
        <xdr:cNvPr id="75" name="CheckBox1" hidden="1">
          <a:extLst>
            <a:ext uri="{63B3BB69-23CF-44E3-9099-C40C66FF867C}">
              <a14:compatExt xmlns:a14="http://schemas.microsoft.com/office/drawing/2010/main" spid="_x0000_s24603"/>
            </a:ext>
            <a:ext uri="{FF2B5EF4-FFF2-40B4-BE49-F238E27FC236}">
              <a16:creationId xmlns:a16="http://schemas.microsoft.com/office/drawing/2014/main" id="{00000000-0008-0000-0200-00004B000000}"/>
            </a:ext>
          </a:extLst>
        </xdr:cNvPr>
        <xdr:cNvSpPr/>
      </xdr:nvSpPr>
      <xdr:spPr>
        <a:xfrm>
          <a:off x="85725" y="4143375"/>
          <a:ext cx="161925" cy="171450"/>
        </a:xfrm>
        <a:prstGeom prst="rect">
          <a:avLst/>
        </a:prstGeom>
      </xdr:spPr>
    </xdr:sp>
    <xdr:clientData/>
  </xdr:oneCellAnchor>
  <xdr:oneCellAnchor>
    <xdr:from>
      <xdr:col>1</xdr:col>
      <xdr:colOff>85725</xdr:colOff>
      <xdr:row>13</xdr:row>
      <xdr:rowOff>66675</xdr:rowOff>
    </xdr:from>
    <xdr:ext cx="161925" cy="171450"/>
    <xdr:sp macro="" textlink="">
      <xdr:nvSpPr>
        <xdr:cNvPr id="76" name="CheckBox2" hidden="1">
          <a:extLst>
            <a:ext uri="{63B3BB69-23CF-44E3-9099-C40C66FF867C}">
              <a14:compatExt xmlns:a14="http://schemas.microsoft.com/office/drawing/2010/main" spid="_x0000_s24604"/>
            </a:ext>
            <a:ext uri="{FF2B5EF4-FFF2-40B4-BE49-F238E27FC236}">
              <a16:creationId xmlns:a16="http://schemas.microsoft.com/office/drawing/2014/main" id="{00000000-0008-0000-0200-00004C000000}"/>
            </a:ext>
          </a:extLst>
        </xdr:cNvPr>
        <xdr:cNvSpPr/>
      </xdr:nvSpPr>
      <xdr:spPr>
        <a:xfrm>
          <a:off x="85725" y="4429125"/>
          <a:ext cx="161925" cy="171450"/>
        </a:xfrm>
        <a:prstGeom prst="rect">
          <a:avLst/>
        </a:prstGeom>
      </xdr:spPr>
    </xdr:sp>
    <xdr:clientData/>
  </xdr:oneCellAnchor>
  <xdr:oneCellAnchor>
    <xdr:from>
      <xdr:col>1</xdr:col>
      <xdr:colOff>85725</xdr:colOff>
      <xdr:row>14</xdr:row>
      <xdr:rowOff>66675</xdr:rowOff>
    </xdr:from>
    <xdr:ext cx="161925" cy="171450"/>
    <xdr:sp macro="" textlink="">
      <xdr:nvSpPr>
        <xdr:cNvPr id="77" name="CheckBox3" hidden="1">
          <a:extLst>
            <a:ext uri="{63B3BB69-23CF-44E3-9099-C40C66FF867C}">
              <a14:compatExt xmlns:a14="http://schemas.microsoft.com/office/drawing/2010/main" spid="_x0000_s24605"/>
            </a:ext>
            <a:ext uri="{FF2B5EF4-FFF2-40B4-BE49-F238E27FC236}">
              <a16:creationId xmlns:a16="http://schemas.microsoft.com/office/drawing/2014/main" id="{00000000-0008-0000-0200-00004D000000}"/>
            </a:ext>
          </a:extLst>
        </xdr:cNvPr>
        <xdr:cNvSpPr/>
      </xdr:nvSpPr>
      <xdr:spPr>
        <a:xfrm>
          <a:off x="85725" y="4714875"/>
          <a:ext cx="161925" cy="171450"/>
        </a:xfrm>
        <a:prstGeom prst="rect">
          <a:avLst/>
        </a:prstGeom>
      </xdr:spPr>
    </xdr:sp>
    <xdr:clientData/>
  </xdr:oneCellAnchor>
  <xdr:oneCellAnchor>
    <xdr:from>
      <xdr:col>1</xdr:col>
      <xdr:colOff>85725</xdr:colOff>
      <xdr:row>15</xdr:row>
      <xdr:rowOff>66675</xdr:rowOff>
    </xdr:from>
    <xdr:ext cx="161925" cy="171450"/>
    <xdr:sp macro="" textlink="">
      <xdr:nvSpPr>
        <xdr:cNvPr id="78" name="CheckBox4" hidden="1">
          <a:extLst>
            <a:ext uri="{63B3BB69-23CF-44E3-9099-C40C66FF867C}">
              <a14:compatExt xmlns:a14="http://schemas.microsoft.com/office/drawing/2010/main" spid="_x0000_s24606"/>
            </a:ext>
            <a:ext uri="{FF2B5EF4-FFF2-40B4-BE49-F238E27FC236}">
              <a16:creationId xmlns:a16="http://schemas.microsoft.com/office/drawing/2014/main" id="{00000000-0008-0000-0200-00004E000000}"/>
            </a:ext>
          </a:extLst>
        </xdr:cNvPr>
        <xdr:cNvSpPr/>
      </xdr:nvSpPr>
      <xdr:spPr>
        <a:xfrm>
          <a:off x="85725" y="5000625"/>
          <a:ext cx="161925" cy="171450"/>
        </a:xfrm>
        <a:prstGeom prst="rect">
          <a:avLst/>
        </a:prstGeom>
      </xdr:spPr>
    </xdr:sp>
    <xdr:clientData/>
  </xdr:oneCellAnchor>
  <xdr:oneCellAnchor>
    <xdr:from>
      <xdr:col>1</xdr:col>
      <xdr:colOff>85725</xdr:colOff>
      <xdr:row>16</xdr:row>
      <xdr:rowOff>66675</xdr:rowOff>
    </xdr:from>
    <xdr:ext cx="161925" cy="171450"/>
    <xdr:sp macro="" textlink="">
      <xdr:nvSpPr>
        <xdr:cNvPr id="79" name="CheckBox5" hidden="1">
          <a:extLst>
            <a:ext uri="{63B3BB69-23CF-44E3-9099-C40C66FF867C}">
              <a14:compatExt xmlns:a14="http://schemas.microsoft.com/office/drawing/2010/main" spid="_x0000_s24607"/>
            </a:ext>
            <a:ext uri="{FF2B5EF4-FFF2-40B4-BE49-F238E27FC236}">
              <a16:creationId xmlns:a16="http://schemas.microsoft.com/office/drawing/2014/main" id="{00000000-0008-0000-0200-00004F000000}"/>
            </a:ext>
          </a:extLst>
        </xdr:cNvPr>
        <xdr:cNvSpPr/>
      </xdr:nvSpPr>
      <xdr:spPr>
        <a:xfrm>
          <a:off x="85725" y="5286375"/>
          <a:ext cx="161925" cy="171450"/>
        </a:xfrm>
        <a:prstGeom prst="rect">
          <a:avLst/>
        </a:prstGeom>
      </xdr:spPr>
    </xdr:sp>
    <xdr:clientData/>
  </xdr:oneCellAnchor>
  <xdr:oneCellAnchor>
    <xdr:from>
      <xdr:col>1</xdr:col>
      <xdr:colOff>76200</xdr:colOff>
      <xdr:row>19</xdr:row>
      <xdr:rowOff>66675</xdr:rowOff>
    </xdr:from>
    <xdr:ext cx="161925" cy="171450"/>
    <xdr:sp macro="" textlink="">
      <xdr:nvSpPr>
        <xdr:cNvPr id="80" name="CheckBox2" hidden="1">
          <a:extLst>
            <a:ext uri="{63B3BB69-23CF-44E3-9099-C40C66FF867C}">
              <a14:compatExt xmlns:a14="http://schemas.microsoft.com/office/drawing/2010/main" spid="_x0000_s24610"/>
            </a:ext>
            <a:ext uri="{FF2B5EF4-FFF2-40B4-BE49-F238E27FC236}">
              <a16:creationId xmlns:a16="http://schemas.microsoft.com/office/drawing/2014/main" id="{00000000-0008-0000-0200-000050000000}"/>
            </a:ext>
          </a:extLst>
        </xdr:cNvPr>
        <xdr:cNvSpPr/>
      </xdr:nvSpPr>
      <xdr:spPr>
        <a:xfrm>
          <a:off x="76200" y="6143625"/>
          <a:ext cx="161925" cy="171450"/>
        </a:xfrm>
        <a:prstGeom prst="rect">
          <a:avLst/>
        </a:prstGeom>
      </xdr:spPr>
    </xdr:sp>
    <xdr:clientData/>
  </xdr:oneCellAnchor>
  <xdr:oneCellAnchor>
    <xdr:from>
      <xdr:col>1</xdr:col>
      <xdr:colOff>66675</xdr:colOff>
      <xdr:row>21</xdr:row>
      <xdr:rowOff>0</xdr:rowOff>
    </xdr:from>
    <xdr:ext cx="161925" cy="171450"/>
    <xdr:sp macro="" textlink="">
      <xdr:nvSpPr>
        <xdr:cNvPr id="81" name="CheckBox3" hidden="1">
          <a:extLst>
            <a:ext uri="{63B3BB69-23CF-44E3-9099-C40C66FF867C}">
              <a14:compatExt xmlns:a14="http://schemas.microsoft.com/office/drawing/2010/main" spid="_x0000_s24611"/>
            </a:ext>
            <a:ext uri="{FF2B5EF4-FFF2-40B4-BE49-F238E27FC236}">
              <a16:creationId xmlns:a16="http://schemas.microsoft.com/office/drawing/2014/main" id="{00000000-0008-0000-0200-000051000000}"/>
            </a:ext>
          </a:extLst>
        </xdr:cNvPr>
        <xdr:cNvSpPr/>
      </xdr:nvSpPr>
      <xdr:spPr>
        <a:xfrm>
          <a:off x="66675" y="6705600"/>
          <a:ext cx="161925" cy="171450"/>
        </a:xfrm>
        <a:prstGeom prst="rect">
          <a:avLst/>
        </a:prstGeom>
      </xdr:spPr>
    </xdr:sp>
    <xdr:clientData/>
  </xdr:oneCellAnchor>
  <xdr:oneCellAnchor>
    <xdr:from>
      <xdr:col>1</xdr:col>
      <xdr:colOff>85725</xdr:colOff>
      <xdr:row>20</xdr:row>
      <xdr:rowOff>66675</xdr:rowOff>
    </xdr:from>
    <xdr:ext cx="161925" cy="171450"/>
    <xdr:sp macro="" textlink="">
      <xdr:nvSpPr>
        <xdr:cNvPr id="82" name="CheckBox5" hidden="1">
          <a:extLst>
            <a:ext uri="{63B3BB69-23CF-44E3-9099-C40C66FF867C}">
              <a14:compatExt xmlns:a14="http://schemas.microsoft.com/office/drawing/2010/main" spid="_x0000_s24613"/>
            </a:ext>
            <a:ext uri="{FF2B5EF4-FFF2-40B4-BE49-F238E27FC236}">
              <a16:creationId xmlns:a16="http://schemas.microsoft.com/office/drawing/2014/main" id="{00000000-0008-0000-0200-000052000000}"/>
            </a:ext>
          </a:extLst>
        </xdr:cNvPr>
        <xdr:cNvSpPr/>
      </xdr:nvSpPr>
      <xdr:spPr>
        <a:xfrm>
          <a:off x="85725" y="6429375"/>
          <a:ext cx="161925" cy="171450"/>
        </a:xfrm>
        <a:prstGeom prst="rect">
          <a:avLst/>
        </a:prstGeom>
      </xdr:spPr>
    </xdr:sp>
    <xdr:clientData/>
  </xdr:oneCellAnchor>
  <xdr:oneCellAnchor>
    <xdr:from>
      <xdr:col>2</xdr:col>
      <xdr:colOff>85725</xdr:colOff>
      <xdr:row>5</xdr:row>
      <xdr:rowOff>66675</xdr:rowOff>
    </xdr:from>
    <xdr:ext cx="161925" cy="171450"/>
    <xdr:sp macro="" textlink="">
      <xdr:nvSpPr>
        <xdr:cNvPr id="83" name="CheckBox1" hidden="1">
          <a:extLst>
            <a:ext uri="{63B3BB69-23CF-44E3-9099-C40C66FF867C}">
              <a14:compatExt xmlns:a14="http://schemas.microsoft.com/office/drawing/2010/main" spid="_x0000_s24615"/>
            </a:ext>
            <a:ext uri="{FF2B5EF4-FFF2-40B4-BE49-F238E27FC236}">
              <a16:creationId xmlns:a16="http://schemas.microsoft.com/office/drawing/2014/main" id="{00000000-0008-0000-0200-000053000000}"/>
            </a:ext>
          </a:extLst>
        </xdr:cNvPr>
        <xdr:cNvSpPr/>
      </xdr:nvSpPr>
      <xdr:spPr>
        <a:xfrm>
          <a:off x="3000375" y="2428875"/>
          <a:ext cx="161925" cy="171450"/>
        </a:xfrm>
        <a:prstGeom prst="rect">
          <a:avLst/>
        </a:prstGeom>
      </xdr:spPr>
    </xdr:sp>
    <xdr:clientData/>
  </xdr:oneCellAnchor>
  <xdr:oneCellAnchor>
    <xdr:from>
      <xdr:col>2</xdr:col>
      <xdr:colOff>85725</xdr:colOff>
      <xdr:row>6</xdr:row>
      <xdr:rowOff>66675</xdr:rowOff>
    </xdr:from>
    <xdr:ext cx="161925" cy="171450"/>
    <xdr:sp macro="" textlink="">
      <xdr:nvSpPr>
        <xdr:cNvPr id="84" name="CheckBox2" hidden="1">
          <a:extLst>
            <a:ext uri="{63B3BB69-23CF-44E3-9099-C40C66FF867C}">
              <a14:compatExt xmlns:a14="http://schemas.microsoft.com/office/drawing/2010/main" spid="_x0000_s24616"/>
            </a:ext>
            <a:ext uri="{FF2B5EF4-FFF2-40B4-BE49-F238E27FC236}">
              <a16:creationId xmlns:a16="http://schemas.microsoft.com/office/drawing/2014/main" id="{00000000-0008-0000-0200-000054000000}"/>
            </a:ext>
          </a:extLst>
        </xdr:cNvPr>
        <xdr:cNvSpPr/>
      </xdr:nvSpPr>
      <xdr:spPr>
        <a:xfrm>
          <a:off x="3000375" y="2714625"/>
          <a:ext cx="161925" cy="171450"/>
        </a:xfrm>
        <a:prstGeom prst="rect">
          <a:avLst/>
        </a:prstGeom>
      </xdr:spPr>
    </xdr:sp>
    <xdr:clientData/>
  </xdr:oneCellAnchor>
  <xdr:oneCellAnchor>
    <xdr:from>
      <xdr:col>2</xdr:col>
      <xdr:colOff>85725</xdr:colOff>
      <xdr:row>7</xdr:row>
      <xdr:rowOff>66675</xdr:rowOff>
    </xdr:from>
    <xdr:ext cx="161925" cy="171450"/>
    <xdr:sp macro="" textlink="">
      <xdr:nvSpPr>
        <xdr:cNvPr id="85" name="CheckBox3" hidden="1">
          <a:extLst>
            <a:ext uri="{63B3BB69-23CF-44E3-9099-C40C66FF867C}">
              <a14:compatExt xmlns:a14="http://schemas.microsoft.com/office/drawing/2010/main" spid="_x0000_s24617"/>
            </a:ext>
            <a:ext uri="{FF2B5EF4-FFF2-40B4-BE49-F238E27FC236}">
              <a16:creationId xmlns:a16="http://schemas.microsoft.com/office/drawing/2014/main" id="{00000000-0008-0000-0200-000055000000}"/>
            </a:ext>
          </a:extLst>
        </xdr:cNvPr>
        <xdr:cNvSpPr/>
      </xdr:nvSpPr>
      <xdr:spPr>
        <a:xfrm>
          <a:off x="3000375" y="3000375"/>
          <a:ext cx="161925" cy="171450"/>
        </a:xfrm>
        <a:prstGeom prst="rect">
          <a:avLst/>
        </a:prstGeom>
      </xdr:spPr>
    </xdr:sp>
    <xdr:clientData/>
  </xdr:oneCellAnchor>
  <xdr:oneCellAnchor>
    <xdr:from>
      <xdr:col>2</xdr:col>
      <xdr:colOff>85725</xdr:colOff>
      <xdr:row>8</xdr:row>
      <xdr:rowOff>66675</xdr:rowOff>
    </xdr:from>
    <xdr:ext cx="161925" cy="171450"/>
    <xdr:sp macro="" textlink="">
      <xdr:nvSpPr>
        <xdr:cNvPr id="86" name="CheckBox4" hidden="1">
          <a:extLst>
            <a:ext uri="{63B3BB69-23CF-44E3-9099-C40C66FF867C}">
              <a14:compatExt xmlns:a14="http://schemas.microsoft.com/office/drawing/2010/main" spid="_x0000_s24618"/>
            </a:ext>
            <a:ext uri="{FF2B5EF4-FFF2-40B4-BE49-F238E27FC236}">
              <a16:creationId xmlns:a16="http://schemas.microsoft.com/office/drawing/2014/main" id="{00000000-0008-0000-0200-000056000000}"/>
            </a:ext>
          </a:extLst>
        </xdr:cNvPr>
        <xdr:cNvSpPr/>
      </xdr:nvSpPr>
      <xdr:spPr>
        <a:xfrm>
          <a:off x="3000375" y="3286125"/>
          <a:ext cx="161925" cy="171450"/>
        </a:xfrm>
        <a:prstGeom prst="rect">
          <a:avLst/>
        </a:prstGeom>
      </xdr:spPr>
    </xdr:sp>
    <xdr:clientData/>
  </xdr:oneCellAnchor>
  <xdr:oneCellAnchor>
    <xdr:from>
      <xdr:col>2</xdr:col>
      <xdr:colOff>85725</xdr:colOff>
      <xdr:row>9</xdr:row>
      <xdr:rowOff>66675</xdr:rowOff>
    </xdr:from>
    <xdr:ext cx="161925" cy="171450"/>
    <xdr:sp macro="" textlink="">
      <xdr:nvSpPr>
        <xdr:cNvPr id="87" name="CheckBox5" hidden="1">
          <a:extLst>
            <a:ext uri="{63B3BB69-23CF-44E3-9099-C40C66FF867C}">
              <a14:compatExt xmlns:a14="http://schemas.microsoft.com/office/drawing/2010/main" spid="_x0000_s24619"/>
            </a:ext>
            <a:ext uri="{FF2B5EF4-FFF2-40B4-BE49-F238E27FC236}">
              <a16:creationId xmlns:a16="http://schemas.microsoft.com/office/drawing/2014/main" id="{00000000-0008-0000-0200-000057000000}"/>
            </a:ext>
          </a:extLst>
        </xdr:cNvPr>
        <xdr:cNvSpPr/>
      </xdr:nvSpPr>
      <xdr:spPr>
        <a:xfrm>
          <a:off x="3000375" y="3571875"/>
          <a:ext cx="161925" cy="171450"/>
        </a:xfrm>
        <a:prstGeom prst="rect">
          <a:avLst/>
        </a:prstGeom>
      </xdr:spPr>
    </xdr:sp>
    <xdr:clientData/>
  </xdr:oneCellAnchor>
  <xdr:oneCellAnchor>
    <xdr:from>
      <xdr:col>2</xdr:col>
      <xdr:colOff>85725</xdr:colOff>
      <xdr:row>10</xdr:row>
      <xdr:rowOff>76200</xdr:rowOff>
    </xdr:from>
    <xdr:ext cx="161925" cy="171450"/>
    <xdr:sp macro="" textlink="">
      <xdr:nvSpPr>
        <xdr:cNvPr id="88" name="CheckBox6" hidden="1">
          <a:extLst>
            <a:ext uri="{63B3BB69-23CF-44E3-9099-C40C66FF867C}">
              <a14:compatExt xmlns:a14="http://schemas.microsoft.com/office/drawing/2010/main" spid="_x0000_s24620"/>
            </a:ext>
            <a:ext uri="{FF2B5EF4-FFF2-40B4-BE49-F238E27FC236}">
              <a16:creationId xmlns:a16="http://schemas.microsoft.com/office/drawing/2014/main" id="{00000000-0008-0000-0200-000058000000}"/>
            </a:ext>
          </a:extLst>
        </xdr:cNvPr>
        <xdr:cNvSpPr/>
      </xdr:nvSpPr>
      <xdr:spPr>
        <a:xfrm>
          <a:off x="3000375" y="3867150"/>
          <a:ext cx="161925" cy="171450"/>
        </a:xfrm>
        <a:prstGeom prst="rect">
          <a:avLst/>
        </a:prstGeom>
      </xdr:spPr>
    </xdr:sp>
    <xdr:clientData/>
  </xdr:oneCellAnchor>
  <xdr:oneCellAnchor>
    <xdr:from>
      <xdr:col>2</xdr:col>
      <xdr:colOff>76200</xdr:colOff>
      <xdr:row>15</xdr:row>
      <xdr:rowOff>76200</xdr:rowOff>
    </xdr:from>
    <xdr:ext cx="161925" cy="171450"/>
    <xdr:sp macro="" textlink="">
      <xdr:nvSpPr>
        <xdr:cNvPr id="89" name="CheckBox7" hidden="1">
          <a:extLst>
            <a:ext uri="{63B3BB69-23CF-44E3-9099-C40C66FF867C}">
              <a14:compatExt xmlns:a14="http://schemas.microsoft.com/office/drawing/2010/main" spid="_x0000_s24621"/>
            </a:ext>
            <a:ext uri="{FF2B5EF4-FFF2-40B4-BE49-F238E27FC236}">
              <a16:creationId xmlns:a16="http://schemas.microsoft.com/office/drawing/2014/main" id="{00000000-0008-0000-0200-000059000000}"/>
            </a:ext>
          </a:extLst>
        </xdr:cNvPr>
        <xdr:cNvSpPr/>
      </xdr:nvSpPr>
      <xdr:spPr>
        <a:xfrm>
          <a:off x="2990850" y="5010150"/>
          <a:ext cx="161925" cy="171450"/>
        </a:xfrm>
        <a:prstGeom prst="rect">
          <a:avLst/>
        </a:prstGeom>
      </xdr:spPr>
    </xdr:sp>
    <xdr:clientData/>
  </xdr:oneCellAnchor>
  <xdr:oneCellAnchor>
    <xdr:from>
      <xdr:col>2</xdr:col>
      <xdr:colOff>76200</xdr:colOff>
      <xdr:row>16</xdr:row>
      <xdr:rowOff>76200</xdr:rowOff>
    </xdr:from>
    <xdr:ext cx="161925" cy="171450"/>
    <xdr:sp macro="" textlink="">
      <xdr:nvSpPr>
        <xdr:cNvPr id="90" name="CheckBox8" hidden="1">
          <a:extLst>
            <a:ext uri="{63B3BB69-23CF-44E3-9099-C40C66FF867C}">
              <a14:compatExt xmlns:a14="http://schemas.microsoft.com/office/drawing/2010/main" spid="_x0000_s24622"/>
            </a:ext>
            <a:ext uri="{FF2B5EF4-FFF2-40B4-BE49-F238E27FC236}">
              <a16:creationId xmlns:a16="http://schemas.microsoft.com/office/drawing/2014/main" id="{00000000-0008-0000-0200-00005A000000}"/>
            </a:ext>
          </a:extLst>
        </xdr:cNvPr>
        <xdr:cNvSpPr/>
      </xdr:nvSpPr>
      <xdr:spPr>
        <a:xfrm>
          <a:off x="2990850" y="5295900"/>
          <a:ext cx="161925" cy="171450"/>
        </a:xfrm>
        <a:prstGeom prst="rect">
          <a:avLst/>
        </a:prstGeom>
      </xdr:spPr>
    </xdr:sp>
    <xdr:clientData/>
  </xdr:oneCellAnchor>
  <xdr:oneCellAnchor>
    <xdr:from>
      <xdr:col>2</xdr:col>
      <xdr:colOff>76200</xdr:colOff>
      <xdr:row>17</xdr:row>
      <xdr:rowOff>76200</xdr:rowOff>
    </xdr:from>
    <xdr:ext cx="161925" cy="171450"/>
    <xdr:sp macro="" textlink="">
      <xdr:nvSpPr>
        <xdr:cNvPr id="91" name="CheckBox9" hidden="1">
          <a:extLst>
            <a:ext uri="{63B3BB69-23CF-44E3-9099-C40C66FF867C}">
              <a14:compatExt xmlns:a14="http://schemas.microsoft.com/office/drawing/2010/main" spid="_x0000_s24623"/>
            </a:ext>
            <a:ext uri="{FF2B5EF4-FFF2-40B4-BE49-F238E27FC236}">
              <a16:creationId xmlns:a16="http://schemas.microsoft.com/office/drawing/2014/main" id="{00000000-0008-0000-0200-00005B000000}"/>
            </a:ext>
          </a:extLst>
        </xdr:cNvPr>
        <xdr:cNvSpPr/>
      </xdr:nvSpPr>
      <xdr:spPr>
        <a:xfrm>
          <a:off x="2990850" y="5581650"/>
          <a:ext cx="161925" cy="171450"/>
        </a:xfrm>
        <a:prstGeom prst="rect">
          <a:avLst/>
        </a:prstGeom>
      </xdr:spPr>
    </xdr:sp>
    <xdr:clientData/>
  </xdr:oneCellAnchor>
  <xdr:oneCellAnchor>
    <xdr:from>
      <xdr:col>2</xdr:col>
      <xdr:colOff>76200</xdr:colOff>
      <xdr:row>18</xdr:row>
      <xdr:rowOff>76200</xdr:rowOff>
    </xdr:from>
    <xdr:ext cx="161925" cy="171450"/>
    <xdr:sp macro="" textlink="">
      <xdr:nvSpPr>
        <xdr:cNvPr id="92" name="CheckBox10" hidden="1">
          <a:extLst>
            <a:ext uri="{63B3BB69-23CF-44E3-9099-C40C66FF867C}">
              <a14:compatExt xmlns:a14="http://schemas.microsoft.com/office/drawing/2010/main" spid="_x0000_s24624"/>
            </a:ext>
            <a:ext uri="{FF2B5EF4-FFF2-40B4-BE49-F238E27FC236}">
              <a16:creationId xmlns:a16="http://schemas.microsoft.com/office/drawing/2014/main" id="{00000000-0008-0000-0200-00005C000000}"/>
            </a:ext>
          </a:extLst>
        </xdr:cNvPr>
        <xdr:cNvSpPr/>
      </xdr:nvSpPr>
      <xdr:spPr>
        <a:xfrm>
          <a:off x="2990850" y="5867400"/>
          <a:ext cx="161925" cy="171450"/>
        </a:xfrm>
        <a:prstGeom prst="rect">
          <a:avLst/>
        </a:prstGeom>
      </xdr:spPr>
    </xdr:sp>
    <xdr:clientData/>
  </xdr:oneCellAnchor>
  <xdr:oneCellAnchor>
    <xdr:from>
      <xdr:col>2</xdr:col>
      <xdr:colOff>85725</xdr:colOff>
      <xdr:row>20</xdr:row>
      <xdr:rowOff>76200</xdr:rowOff>
    </xdr:from>
    <xdr:ext cx="161925" cy="171450"/>
    <xdr:sp macro="" textlink="">
      <xdr:nvSpPr>
        <xdr:cNvPr id="93" name="CheckBox11" hidden="1">
          <a:extLst>
            <a:ext uri="{63B3BB69-23CF-44E3-9099-C40C66FF867C}">
              <a14:compatExt xmlns:a14="http://schemas.microsoft.com/office/drawing/2010/main" spid="_x0000_s24625"/>
            </a:ext>
            <a:ext uri="{FF2B5EF4-FFF2-40B4-BE49-F238E27FC236}">
              <a16:creationId xmlns:a16="http://schemas.microsoft.com/office/drawing/2014/main" id="{00000000-0008-0000-0200-00005D000000}"/>
            </a:ext>
          </a:extLst>
        </xdr:cNvPr>
        <xdr:cNvSpPr/>
      </xdr:nvSpPr>
      <xdr:spPr>
        <a:xfrm>
          <a:off x="3000375" y="6438900"/>
          <a:ext cx="161925" cy="171450"/>
        </a:xfrm>
        <a:prstGeom prst="rect">
          <a:avLst/>
        </a:prstGeom>
      </xdr:spPr>
    </xdr:sp>
    <xdr:clientData/>
  </xdr:oneCellAnchor>
  <xdr:oneCellAnchor>
    <xdr:from>
      <xdr:col>2</xdr:col>
      <xdr:colOff>85725</xdr:colOff>
      <xdr:row>12</xdr:row>
      <xdr:rowOff>66675</xdr:rowOff>
    </xdr:from>
    <xdr:ext cx="161925" cy="171450"/>
    <xdr:sp macro="" textlink="">
      <xdr:nvSpPr>
        <xdr:cNvPr id="94" name="CheckBox1" hidden="1">
          <a:extLst>
            <a:ext uri="{63B3BB69-23CF-44E3-9099-C40C66FF867C}">
              <a14:compatExt xmlns:a14="http://schemas.microsoft.com/office/drawing/2010/main" spid="_x0000_s24627"/>
            </a:ext>
            <a:ext uri="{FF2B5EF4-FFF2-40B4-BE49-F238E27FC236}">
              <a16:creationId xmlns:a16="http://schemas.microsoft.com/office/drawing/2014/main" id="{00000000-0008-0000-0200-00005E000000}"/>
            </a:ext>
          </a:extLst>
        </xdr:cNvPr>
        <xdr:cNvSpPr/>
      </xdr:nvSpPr>
      <xdr:spPr>
        <a:xfrm>
          <a:off x="3000375" y="4143375"/>
          <a:ext cx="161925" cy="171450"/>
        </a:xfrm>
        <a:prstGeom prst="rect">
          <a:avLst/>
        </a:prstGeom>
      </xdr:spPr>
    </xdr:sp>
    <xdr:clientData/>
  </xdr:oneCellAnchor>
  <xdr:oneCellAnchor>
    <xdr:from>
      <xdr:col>2</xdr:col>
      <xdr:colOff>85725</xdr:colOff>
      <xdr:row>13</xdr:row>
      <xdr:rowOff>66675</xdr:rowOff>
    </xdr:from>
    <xdr:ext cx="161925" cy="171450"/>
    <xdr:sp macro="" textlink="">
      <xdr:nvSpPr>
        <xdr:cNvPr id="95" name="CheckBox2" hidden="1">
          <a:extLst>
            <a:ext uri="{63B3BB69-23CF-44E3-9099-C40C66FF867C}">
              <a14:compatExt xmlns:a14="http://schemas.microsoft.com/office/drawing/2010/main" spid="_x0000_s24628"/>
            </a:ext>
            <a:ext uri="{FF2B5EF4-FFF2-40B4-BE49-F238E27FC236}">
              <a16:creationId xmlns:a16="http://schemas.microsoft.com/office/drawing/2014/main" id="{00000000-0008-0000-0200-00005F000000}"/>
            </a:ext>
          </a:extLst>
        </xdr:cNvPr>
        <xdr:cNvSpPr/>
      </xdr:nvSpPr>
      <xdr:spPr>
        <a:xfrm>
          <a:off x="3000375" y="4429125"/>
          <a:ext cx="161925" cy="171450"/>
        </a:xfrm>
        <a:prstGeom prst="rect">
          <a:avLst/>
        </a:prstGeom>
      </xdr:spPr>
    </xdr:sp>
    <xdr:clientData/>
  </xdr:oneCellAnchor>
  <xdr:oneCellAnchor>
    <xdr:from>
      <xdr:col>2</xdr:col>
      <xdr:colOff>85725</xdr:colOff>
      <xdr:row>14</xdr:row>
      <xdr:rowOff>66675</xdr:rowOff>
    </xdr:from>
    <xdr:ext cx="161925" cy="171450"/>
    <xdr:sp macro="" textlink="">
      <xdr:nvSpPr>
        <xdr:cNvPr id="96" name="CheckBox3" hidden="1">
          <a:extLst>
            <a:ext uri="{63B3BB69-23CF-44E3-9099-C40C66FF867C}">
              <a14:compatExt xmlns:a14="http://schemas.microsoft.com/office/drawing/2010/main" spid="_x0000_s24629"/>
            </a:ext>
            <a:ext uri="{FF2B5EF4-FFF2-40B4-BE49-F238E27FC236}">
              <a16:creationId xmlns:a16="http://schemas.microsoft.com/office/drawing/2014/main" id="{00000000-0008-0000-0200-000060000000}"/>
            </a:ext>
          </a:extLst>
        </xdr:cNvPr>
        <xdr:cNvSpPr/>
      </xdr:nvSpPr>
      <xdr:spPr>
        <a:xfrm>
          <a:off x="3000375" y="4714875"/>
          <a:ext cx="161925" cy="171450"/>
        </a:xfrm>
        <a:prstGeom prst="rect">
          <a:avLst/>
        </a:prstGeom>
      </xdr:spPr>
    </xdr:sp>
    <xdr:clientData/>
  </xdr:oneCellAnchor>
  <xdr:oneCellAnchor>
    <xdr:from>
      <xdr:col>2</xdr:col>
      <xdr:colOff>85725</xdr:colOff>
      <xdr:row>15</xdr:row>
      <xdr:rowOff>66675</xdr:rowOff>
    </xdr:from>
    <xdr:ext cx="161925" cy="171450"/>
    <xdr:sp macro="" textlink="">
      <xdr:nvSpPr>
        <xdr:cNvPr id="97" name="CheckBox4" hidden="1">
          <a:extLst>
            <a:ext uri="{63B3BB69-23CF-44E3-9099-C40C66FF867C}">
              <a14:compatExt xmlns:a14="http://schemas.microsoft.com/office/drawing/2010/main" spid="_x0000_s24630"/>
            </a:ext>
            <a:ext uri="{FF2B5EF4-FFF2-40B4-BE49-F238E27FC236}">
              <a16:creationId xmlns:a16="http://schemas.microsoft.com/office/drawing/2014/main" id="{00000000-0008-0000-0200-000061000000}"/>
            </a:ext>
          </a:extLst>
        </xdr:cNvPr>
        <xdr:cNvSpPr/>
      </xdr:nvSpPr>
      <xdr:spPr>
        <a:xfrm>
          <a:off x="3000375" y="5000625"/>
          <a:ext cx="161925" cy="171450"/>
        </a:xfrm>
        <a:prstGeom prst="rect">
          <a:avLst/>
        </a:prstGeom>
      </xdr:spPr>
    </xdr:sp>
    <xdr:clientData/>
  </xdr:oneCellAnchor>
  <xdr:oneCellAnchor>
    <xdr:from>
      <xdr:col>2</xdr:col>
      <xdr:colOff>85725</xdr:colOff>
      <xdr:row>16</xdr:row>
      <xdr:rowOff>66675</xdr:rowOff>
    </xdr:from>
    <xdr:ext cx="161925" cy="171450"/>
    <xdr:sp macro="" textlink="">
      <xdr:nvSpPr>
        <xdr:cNvPr id="98" name="CheckBox5" hidden="1">
          <a:extLst>
            <a:ext uri="{63B3BB69-23CF-44E3-9099-C40C66FF867C}">
              <a14:compatExt xmlns:a14="http://schemas.microsoft.com/office/drawing/2010/main" spid="_x0000_s24631"/>
            </a:ext>
            <a:ext uri="{FF2B5EF4-FFF2-40B4-BE49-F238E27FC236}">
              <a16:creationId xmlns:a16="http://schemas.microsoft.com/office/drawing/2014/main" id="{00000000-0008-0000-0200-000062000000}"/>
            </a:ext>
          </a:extLst>
        </xdr:cNvPr>
        <xdr:cNvSpPr/>
      </xdr:nvSpPr>
      <xdr:spPr>
        <a:xfrm>
          <a:off x="3000375" y="5286375"/>
          <a:ext cx="161925" cy="171450"/>
        </a:xfrm>
        <a:prstGeom prst="rect">
          <a:avLst/>
        </a:prstGeom>
      </xdr:spPr>
    </xdr:sp>
    <xdr:clientData/>
  </xdr:oneCellAnchor>
  <xdr:oneCellAnchor>
    <xdr:from>
      <xdr:col>2</xdr:col>
      <xdr:colOff>85725</xdr:colOff>
      <xdr:row>17</xdr:row>
      <xdr:rowOff>76200</xdr:rowOff>
    </xdr:from>
    <xdr:ext cx="161925" cy="171450"/>
    <xdr:sp macro="" textlink="">
      <xdr:nvSpPr>
        <xdr:cNvPr id="99" name="CheckBox6" hidden="1">
          <a:extLst>
            <a:ext uri="{63B3BB69-23CF-44E3-9099-C40C66FF867C}">
              <a14:compatExt xmlns:a14="http://schemas.microsoft.com/office/drawing/2010/main" spid="_x0000_s24632"/>
            </a:ext>
            <a:ext uri="{FF2B5EF4-FFF2-40B4-BE49-F238E27FC236}">
              <a16:creationId xmlns:a16="http://schemas.microsoft.com/office/drawing/2014/main" id="{00000000-0008-0000-0200-000063000000}"/>
            </a:ext>
          </a:extLst>
        </xdr:cNvPr>
        <xdr:cNvSpPr/>
      </xdr:nvSpPr>
      <xdr:spPr>
        <a:xfrm>
          <a:off x="3000375" y="5581650"/>
          <a:ext cx="161925" cy="171450"/>
        </a:xfrm>
        <a:prstGeom prst="rect">
          <a:avLst/>
        </a:prstGeom>
      </xdr:spPr>
    </xdr:sp>
    <xdr:clientData/>
  </xdr:oneCellAnchor>
  <xdr:oneCellAnchor>
    <xdr:from>
      <xdr:col>2</xdr:col>
      <xdr:colOff>66675</xdr:colOff>
      <xdr:row>19</xdr:row>
      <xdr:rowOff>76200</xdr:rowOff>
    </xdr:from>
    <xdr:ext cx="161925" cy="171450"/>
    <xdr:sp macro="" textlink="">
      <xdr:nvSpPr>
        <xdr:cNvPr id="100" name="CheckBox2" hidden="1">
          <a:extLst>
            <a:ext uri="{63B3BB69-23CF-44E3-9099-C40C66FF867C}">
              <a14:compatExt xmlns:a14="http://schemas.microsoft.com/office/drawing/2010/main" spid="_x0000_s24634"/>
            </a:ext>
            <a:ext uri="{FF2B5EF4-FFF2-40B4-BE49-F238E27FC236}">
              <a16:creationId xmlns:a16="http://schemas.microsoft.com/office/drawing/2014/main" id="{00000000-0008-0000-0200-000064000000}"/>
            </a:ext>
          </a:extLst>
        </xdr:cNvPr>
        <xdr:cNvSpPr/>
      </xdr:nvSpPr>
      <xdr:spPr>
        <a:xfrm>
          <a:off x="2981325" y="6153150"/>
          <a:ext cx="161925" cy="171450"/>
        </a:xfrm>
        <a:prstGeom prst="rect">
          <a:avLst/>
        </a:prstGeom>
      </xdr:spPr>
    </xdr:sp>
    <xdr:clientData/>
  </xdr:oneCellAnchor>
  <xdr:oneCellAnchor>
    <xdr:from>
      <xdr:col>2</xdr:col>
      <xdr:colOff>76200</xdr:colOff>
      <xdr:row>21</xdr:row>
      <xdr:rowOff>0</xdr:rowOff>
    </xdr:from>
    <xdr:ext cx="161925" cy="171450"/>
    <xdr:sp macro="" textlink="">
      <xdr:nvSpPr>
        <xdr:cNvPr id="101" name="CheckBox3" hidden="1">
          <a:extLst>
            <a:ext uri="{63B3BB69-23CF-44E3-9099-C40C66FF867C}">
              <a14:compatExt xmlns:a14="http://schemas.microsoft.com/office/drawing/2010/main" spid="_x0000_s24635"/>
            </a:ext>
            <a:ext uri="{FF2B5EF4-FFF2-40B4-BE49-F238E27FC236}">
              <a16:creationId xmlns:a16="http://schemas.microsoft.com/office/drawing/2014/main" id="{00000000-0008-0000-0200-000065000000}"/>
            </a:ext>
          </a:extLst>
        </xdr:cNvPr>
        <xdr:cNvSpPr/>
      </xdr:nvSpPr>
      <xdr:spPr>
        <a:xfrm>
          <a:off x="2990850" y="6715125"/>
          <a:ext cx="161925" cy="171450"/>
        </a:xfrm>
        <a:prstGeom prst="rect">
          <a:avLst/>
        </a:prstGeom>
      </xdr:spPr>
    </xdr:sp>
    <xdr:clientData/>
  </xdr:oneCellAnchor>
  <xdr:oneCellAnchor>
    <xdr:from>
      <xdr:col>2</xdr:col>
      <xdr:colOff>85725</xdr:colOff>
      <xdr:row>20</xdr:row>
      <xdr:rowOff>66675</xdr:rowOff>
    </xdr:from>
    <xdr:ext cx="161925" cy="171450"/>
    <xdr:sp macro="" textlink="">
      <xdr:nvSpPr>
        <xdr:cNvPr id="102" name="CheckBox5" hidden="1">
          <a:extLst>
            <a:ext uri="{63B3BB69-23CF-44E3-9099-C40C66FF867C}">
              <a14:compatExt xmlns:a14="http://schemas.microsoft.com/office/drawing/2010/main" spid="_x0000_s24637"/>
            </a:ext>
            <a:ext uri="{FF2B5EF4-FFF2-40B4-BE49-F238E27FC236}">
              <a16:creationId xmlns:a16="http://schemas.microsoft.com/office/drawing/2014/main" id="{00000000-0008-0000-0200-000066000000}"/>
            </a:ext>
          </a:extLst>
        </xdr:cNvPr>
        <xdr:cNvSpPr/>
      </xdr:nvSpPr>
      <xdr:spPr>
        <a:xfrm>
          <a:off x="3000375" y="6429375"/>
          <a:ext cx="161925" cy="171450"/>
        </a:xfrm>
        <a:prstGeom prst="rect">
          <a:avLst/>
        </a:prstGeom>
      </xdr:spPr>
    </xdr:sp>
    <xdr:clientData/>
  </xdr:oneCellAnchor>
  <xdr:oneCellAnchor>
    <xdr:from>
      <xdr:col>2</xdr:col>
      <xdr:colOff>85725</xdr:colOff>
      <xdr:row>5</xdr:row>
      <xdr:rowOff>66675</xdr:rowOff>
    </xdr:from>
    <xdr:ext cx="161925" cy="171450"/>
    <xdr:sp macro="" textlink="">
      <xdr:nvSpPr>
        <xdr:cNvPr id="103" name="CheckBox1" hidden="1">
          <a:extLst>
            <a:ext uri="{63B3BB69-23CF-44E3-9099-C40C66FF867C}">
              <a14:compatExt xmlns:a14="http://schemas.microsoft.com/office/drawing/2010/main" spid="_x0000_s24639"/>
            </a:ext>
            <a:ext uri="{FF2B5EF4-FFF2-40B4-BE49-F238E27FC236}">
              <a16:creationId xmlns:a16="http://schemas.microsoft.com/office/drawing/2014/main" id="{00000000-0008-0000-0200-000067000000}"/>
            </a:ext>
          </a:extLst>
        </xdr:cNvPr>
        <xdr:cNvSpPr/>
      </xdr:nvSpPr>
      <xdr:spPr>
        <a:xfrm>
          <a:off x="3000375" y="2428875"/>
          <a:ext cx="161925" cy="171450"/>
        </a:xfrm>
        <a:prstGeom prst="rect">
          <a:avLst/>
        </a:prstGeom>
      </xdr:spPr>
    </xdr:sp>
    <xdr:clientData/>
  </xdr:oneCellAnchor>
  <xdr:oneCellAnchor>
    <xdr:from>
      <xdr:col>2</xdr:col>
      <xdr:colOff>85725</xdr:colOff>
      <xdr:row>6</xdr:row>
      <xdr:rowOff>66675</xdr:rowOff>
    </xdr:from>
    <xdr:ext cx="161925" cy="171450"/>
    <xdr:sp macro="" textlink="">
      <xdr:nvSpPr>
        <xdr:cNvPr id="104" name="CheckBox2" hidden="1">
          <a:extLst>
            <a:ext uri="{63B3BB69-23CF-44E3-9099-C40C66FF867C}">
              <a14:compatExt xmlns:a14="http://schemas.microsoft.com/office/drawing/2010/main" spid="_x0000_s24640"/>
            </a:ext>
            <a:ext uri="{FF2B5EF4-FFF2-40B4-BE49-F238E27FC236}">
              <a16:creationId xmlns:a16="http://schemas.microsoft.com/office/drawing/2014/main" id="{00000000-0008-0000-0200-000068000000}"/>
            </a:ext>
          </a:extLst>
        </xdr:cNvPr>
        <xdr:cNvSpPr/>
      </xdr:nvSpPr>
      <xdr:spPr>
        <a:xfrm>
          <a:off x="3000375" y="2714625"/>
          <a:ext cx="161925" cy="171450"/>
        </a:xfrm>
        <a:prstGeom prst="rect">
          <a:avLst/>
        </a:prstGeom>
      </xdr:spPr>
    </xdr:sp>
    <xdr:clientData/>
  </xdr:oneCellAnchor>
  <xdr:oneCellAnchor>
    <xdr:from>
      <xdr:col>2</xdr:col>
      <xdr:colOff>85725</xdr:colOff>
      <xdr:row>7</xdr:row>
      <xdr:rowOff>66675</xdr:rowOff>
    </xdr:from>
    <xdr:ext cx="161925" cy="171450"/>
    <xdr:sp macro="" textlink="">
      <xdr:nvSpPr>
        <xdr:cNvPr id="105" name="CheckBox3" hidden="1">
          <a:extLst>
            <a:ext uri="{63B3BB69-23CF-44E3-9099-C40C66FF867C}">
              <a14:compatExt xmlns:a14="http://schemas.microsoft.com/office/drawing/2010/main" spid="_x0000_s24641"/>
            </a:ext>
            <a:ext uri="{FF2B5EF4-FFF2-40B4-BE49-F238E27FC236}">
              <a16:creationId xmlns:a16="http://schemas.microsoft.com/office/drawing/2014/main" id="{00000000-0008-0000-0200-000069000000}"/>
            </a:ext>
          </a:extLst>
        </xdr:cNvPr>
        <xdr:cNvSpPr/>
      </xdr:nvSpPr>
      <xdr:spPr>
        <a:xfrm>
          <a:off x="3000375" y="3000375"/>
          <a:ext cx="161925" cy="171450"/>
        </a:xfrm>
        <a:prstGeom prst="rect">
          <a:avLst/>
        </a:prstGeom>
      </xdr:spPr>
    </xdr:sp>
    <xdr:clientData/>
  </xdr:oneCellAnchor>
  <xdr:oneCellAnchor>
    <xdr:from>
      <xdr:col>2</xdr:col>
      <xdr:colOff>85725</xdr:colOff>
      <xdr:row>8</xdr:row>
      <xdr:rowOff>66675</xdr:rowOff>
    </xdr:from>
    <xdr:ext cx="161925" cy="171450"/>
    <xdr:sp macro="" textlink="">
      <xdr:nvSpPr>
        <xdr:cNvPr id="106" name="CheckBox4" hidden="1">
          <a:extLst>
            <a:ext uri="{63B3BB69-23CF-44E3-9099-C40C66FF867C}">
              <a14:compatExt xmlns:a14="http://schemas.microsoft.com/office/drawing/2010/main" spid="_x0000_s24642"/>
            </a:ext>
            <a:ext uri="{FF2B5EF4-FFF2-40B4-BE49-F238E27FC236}">
              <a16:creationId xmlns:a16="http://schemas.microsoft.com/office/drawing/2014/main" id="{00000000-0008-0000-0200-00006A000000}"/>
            </a:ext>
          </a:extLst>
        </xdr:cNvPr>
        <xdr:cNvSpPr/>
      </xdr:nvSpPr>
      <xdr:spPr>
        <a:xfrm>
          <a:off x="3000375" y="3286125"/>
          <a:ext cx="161925" cy="171450"/>
        </a:xfrm>
        <a:prstGeom prst="rect">
          <a:avLst/>
        </a:prstGeom>
      </xdr:spPr>
    </xdr:sp>
    <xdr:clientData/>
  </xdr:oneCellAnchor>
  <xdr:oneCellAnchor>
    <xdr:from>
      <xdr:col>2</xdr:col>
      <xdr:colOff>85725</xdr:colOff>
      <xdr:row>9</xdr:row>
      <xdr:rowOff>66675</xdr:rowOff>
    </xdr:from>
    <xdr:ext cx="161925" cy="171450"/>
    <xdr:sp macro="" textlink="">
      <xdr:nvSpPr>
        <xdr:cNvPr id="107" name="CheckBox5" hidden="1">
          <a:extLst>
            <a:ext uri="{63B3BB69-23CF-44E3-9099-C40C66FF867C}">
              <a14:compatExt xmlns:a14="http://schemas.microsoft.com/office/drawing/2010/main" spid="_x0000_s24643"/>
            </a:ext>
            <a:ext uri="{FF2B5EF4-FFF2-40B4-BE49-F238E27FC236}">
              <a16:creationId xmlns:a16="http://schemas.microsoft.com/office/drawing/2014/main" id="{00000000-0008-0000-0200-00006B000000}"/>
            </a:ext>
          </a:extLst>
        </xdr:cNvPr>
        <xdr:cNvSpPr/>
      </xdr:nvSpPr>
      <xdr:spPr>
        <a:xfrm>
          <a:off x="3000375" y="3571875"/>
          <a:ext cx="161925" cy="171450"/>
        </a:xfrm>
        <a:prstGeom prst="rect">
          <a:avLst/>
        </a:prstGeom>
      </xdr:spPr>
    </xdr:sp>
    <xdr:clientData/>
  </xdr:oneCellAnchor>
  <xdr:oneCellAnchor>
    <xdr:from>
      <xdr:col>2</xdr:col>
      <xdr:colOff>85725</xdr:colOff>
      <xdr:row>10</xdr:row>
      <xdr:rowOff>76200</xdr:rowOff>
    </xdr:from>
    <xdr:ext cx="161925" cy="171450"/>
    <xdr:sp macro="" textlink="">
      <xdr:nvSpPr>
        <xdr:cNvPr id="108" name="CheckBox6" hidden="1">
          <a:extLst>
            <a:ext uri="{63B3BB69-23CF-44E3-9099-C40C66FF867C}">
              <a14:compatExt xmlns:a14="http://schemas.microsoft.com/office/drawing/2010/main" spid="_x0000_s24644"/>
            </a:ext>
            <a:ext uri="{FF2B5EF4-FFF2-40B4-BE49-F238E27FC236}">
              <a16:creationId xmlns:a16="http://schemas.microsoft.com/office/drawing/2014/main" id="{00000000-0008-0000-0200-00006C000000}"/>
            </a:ext>
          </a:extLst>
        </xdr:cNvPr>
        <xdr:cNvSpPr/>
      </xdr:nvSpPr>
      <xdr:spPr>
        <a:xfrm>
          <a:off x="3000375" y="3867150"/>
          <a:ext cx="161925" cy="171450"/>
        </a:xfrm>
        <a:prstGeom prst="rect">
          <a:avLst/>
        </a:prstGeom>
      </xdr:spPr>
    </xdr:sp>
    <xdr:clientData/>
  </xdr:oneCellAnchor>
  <xdr:oneCellAnchor>
    <xdr:from>
      <xdr:col>2</xdr:col>
      <xdr:colOff>76200</xdr:colOff>
      <xdr:row>15</xdr:row>
      <xdr:rowOff>76200</xdr:rowOff>
    </xdr:from>
    <xdr:ext cx="161925" cy="171450"/>
    <xdr:sp macro="" textlink="">
      <xdr:nvSpPr>
        <xdr:cNvPr id="109" name="CheckBox7" hidden="1">
          <a:extLst>
            <a:ext uri="{63B3BB69-23CF-44E3-9099-C40C66FF867C}">
              <a14:compatExt xmlns:a14="http://schemas.microsoft.com/office/drawing/2010/main" spid="_x0000_s24645"/>
            </a:ext>
            <a:ext uri="{FF2B5EF4-FFF2-40B4-BE49-F238E27FC236}">
              <a16:creationId xmlns:a16="http://schemas.microsoft.com/office/drawing/2014/main" id="{00000000-0008-0000-0200-00006D000000}"/>
            </a:ext>
          </a:extLst>
        </xdr:cNvPr>
        <xdr:cNvSpPr/>
      </xdr:nvSpPr>
      <xdr:spPr>
        <a:xfrm>
          <a:off x="2990850" y="5010150"/>
          <a:ext cx="161925" cy="171450"/>
        </a:xfrm>
        <a:prstGeom prst="rect">
          <a:avLst/>
        </a:prstGeom>
      </xdr:spPr>
    </xdr:sp>
    <xdr:clientData/>
  </xdr:oneCellAnchor>
  <xdr:oneCellAnchor>
    <xdr:from>
      <xdr:col>2</xdr:col>
      <xdr:colOff>85725</xdr:colOff>
      <xdr:row>12</xdr:row>
      <xdr:rowOff>66675</xdr:rowOff>
    </xdr:from>
    <xdr:ext cx="161925" cy="171450"/>
    <xdr:sp macro="" textlink="">
      <xdr:nvSpPr>
        <xdr:cNvPr id="110" name="CheckBox1" hidden="1">
          <a:extLst>
            <a:ext uri="{63B3BB69-23CF-44E3-9099-C40C66FF867C}">
              <a14:compatExt xmlns:a14="http://schemas.microsoft.com/office/drawing/2010/main" spid="_x0000_s24646"/>
            </a:ext>
            <a:ext uri="{FF2B5EF4-FFF2-40B4-BE49-F238E27FC236}">
              <a16:creationId xmlns:a16="http://schemas.microsoft.com/office/drawing/2014/main" id="{00000000-0008-0000-0200-00006E000000}"/>
            </a:ext>
          </a:extLst>
        </xdr:cNvPr>
        <xdr:cNvSpPr/>
      </xdr:nvSpPr>
      <xdr:spPr>
        <a:xfrm>
          <a:off x="3000375" y="4143375"/>
          <a:ext cx="161925" cy="171450"/>
        </a:xfrm>
        <a:prstGeom prst="rect">
          <a:avLst/>
        </a:prstGeom>
      </xdr:spPr>
    </xdr:sp>
    <xdr:clientData/>
  </xdr:oneCellAnchor>
  <xdr:oneCellAnchor>
    <xdr:from>
      <xdr:col>2</xdr:col>
      <xdr:colOff>85725</xdr:colOff>
      <xdr:row>13</xdr:row>
      <xdr:rowOff>66675</xdr:rowOff>
    </xdr:from>
    <xdr:ext cx="161925" cy="171450"/>
    <xdr:sp macro="" textlink="">
      <xdr:nvSpPr>
        <xdr:cNvPr id="111" name="CheckBox2" hidden="1">
          <a:extLst>
            <a:ext uri="{63B3BB69-23CF-44E3-9099-C40C66FF867C}">
              <a14:compatExt xmlns:a14="http://schemas.microsoft.com/office/drawing/2010/main" spid="_x0000_s24647"/>
            </a:ext>
            <a:ext uri="{FF2B5EF4-FFF2-40B4-BE49-F238E27FC236}">
              <a16:creationId xmlns:a16="http://schemas.microsoft.com/office/drawing/2014/main" id="{00000000-0008-0000-0200-00006F000000}"/>
            </a:ext>
          </a:extLst>
        </xdr:cNvPr>
        <xdr:cNvSpPr/>
      </xdr:nvSpPr>
      <xdr:spPr>
        <a:xfrm>
          <a:off x="3000375" y="4429125"/>
          <a:ext cx="161925" cy="171450"/>
        </a:xfrm>
        <a:prstGeom prst="rect">
          <a:avLst/>
        </a:prstGeom>
      </xdr:spPr>
    </xdr:sp>
    <xdr:clientData/>
  </xdr:oneCellAnchor>
  <xdr:oneCellAnchor>
    <xdr:from>
      <xdr:col>2</xdr:col>
      <xdr:colOff>85725</xdr:colOff>
      <xdr:row>14</xdr:row>
      <xdr:rowOff>66675</xdr:rowOff>
    </xdr:from>
    <xdr:ext cx="161925" cy="171450"/>
    <xdr:sp macro="" textlink="">
      <xdr:nvSpPr>
        <xdr:cNvPr id="112" name="CheckBox3" hidden="1">
          <a:extLst>
            <a:ext uri="{63B3BB69-23CF-44E3-9099-C40C66FF867C}">
              <a14:compatExt xmlns:a14="http://schemas.microsoft.com/office/drawing/2010/main" spid="_x0000_s24648"/>
            </a:ext>
            <a:ext uri="{FF2B5EF4-FFF2-40B4-BE49-F238E27FC236}">
              <a16:creationId xmlns:a16="http://schemas.microsoft.com/office/drawing/2014/main" id="{00000000-0008-0000-0200-000070000000}"/>
            </a:ext>
          </a:extLst>
        </xdr:cNvPr>
        <xdr:cNvSpPr/>
      </xdr:nvSpPr>
      <xdr:spPr>
        <a:xfrm>
          <a:off x="3000375" y="4714875"/>
          <a:ext cx="161925" cy="171450"/>
        </a:xfrm>
        <a:prstGeom prst="rect">
          <a:avLst/>
        </a:prstGeom>
      </xdr:spPr>
    </xdr:sp>
    <xdr:clientData/>
  </xdr:oneCellAnchor>
  <xdr:oneCellAnchor>
    <xdr:from>
      <xdr:col>2</xdr:col>
      <xdr:colOff>85725</xdr:colOff>
      <xdr:row>15</xdr:row>
      <xdr:rowOff>66675</xdr:rowOff>
    </xdr:from>
    <xdr:ext cx="161925" cy="171450"/>
    <xdr:sp macro="" textlink="">
      <xdr:nvSpPr>
        <xdr:cNvPr id="113" name="CheckBox4" hidden="1">
          <a:extLst>
            <a:ext uri="{63B3BB69-23CF-44E3-9099-C40C66FF867C}">
              <a14:compatExt xmlns:a14="http://schemas.microsoft.com/office/drawing/2010/main" spid="_x0000_s24649"/>
            </a:ext>
            <a:ext uri="{FF2B5EF4-FFF2-40B4-BE49-F238E27FC236}">
              <a16:creationId xmlns:a16="http://schemas.microsoft.com/office/drawing/2014/main" id="{00000000-0008-0000-0200-000071000000}"/>
            </a:ext>
          </a:extLst>
        </xdr:cNvPr>
        <xdr:cNvSpPr/>
      </xdr:nvSpPr>
      <xdr:spPr>
        <a:xfrm>
          <a:off x="3000375" y="5000625"/>
          <a:ext cx="161925" cy="171450"/>
        </a:xfrm>
        <a:prstGeom prst="rect">
          <a:avLst/>
        </a:prstGeom>
      </xdr:spPr>
    </xdr:sp>
    <xdr:clientData/>
  </xdr:oneCellAnchor>
  <xdr:oneCellAnchor>
    <xdr:from>
      <xdr:col>2</xdr:col>
      <xdr:colOff>76200</xdr:colOff>
      <xdr:row>15</xdr:row>
      <xdr:rowOff>76200</xdr:rowOff>
    </xdr:from>
    <xdr:ext cx="161925" cy="171450"/>
    <xdr:sp macro="" textlink="">
      <xdr:nvSpPr>
        <xdr:cNvPr id="114" name="CheckBox7" hidden="1">
          <a:extLst>
            <a:ext uri="{63B3BB69-23CF-44E3-9099-C40C66FF867C}">
              <a14:compatExt xmlns:a14="http://schemas.microsoft.com/office/drawing/2010/main" spid="_x0000_s24650"/>
            </a:ext>
            <a:ext uri="{FF2B5EF4-FFF2-40B4-BE49-F238E27FC236}">
              <a16:creationId xmlns:a16="http://schemas.microsoft.com/office/drawing/2014/main" id="{00000000-0008-0000-0200-000072000000}"/>
            </a:ext>
          </a:extLst>
        </xdr:cNvPr>
        <xdr:cNvSpPr/>
      </xdr:nvSpPr>
      <xdr:spPr>
        <a:xfrm>
          <a:off x="2990850" y="5010150"/>
          <a:ext cx="161925" cy="171450"/>
        </a:xfrm>
        <a:prstGeom prst="rect">
          <a:avLst/>
        </a:prstGeom>
      </xdr:spPr>
    </xdr:sp>
    <xdr:clientData/>
  </xdr:oneCellAnchor>
  <xdr:oneCellAnchor>
    <xdr:from>
      <xdr:col>2</xdr:col>
      <xdr:colOff>76200</xdr:colOff>
      <xdr:row>16</xdr:row>
      <xdr:rowOff>76200</xdr:rowOff>
    </xdr:from>
    <xdr:ext cx="161925" cy="171450"/>
    <xdr:sp macro="" textlink="">
      <xdr:nvSpPr>
        <xdr:cNvPr id="115" name="CheckBox8" hidden="1">
          <a:extLst>
            <a:ext uri="{63B3BB69-23CF-44E3-9099-C40C66FF867C}">
              <a14:compatExt xmlns:a14="http://schemas.microsoft.com/office/drawing/2010/main" spid="_x0000_s24651"/>
            </a:ext>
            <a:ext uri="{FF2B5EF4-FFF2-40B4-BE49-F238E27FC236}">
              <a16:creationId xmlns:a16="http://schemas.microsoft.com/office/drawing/2014/main" id="{00000000-0008-0000-0200-000073000000}"/>
            </a:ext>
          </a:extLst>
        </xdr:cNvPr>
        <xdr:cNvSpPr/>
      </xdr:nvSpPr>
      <xdr:spPr>
        <a:xfrm>
          <a:off x="2990850" y="5295900"/>
          <a:ext cx="161925" cy="171450"/>
        </a:xfrm>
        <a:prstGeom prst="rect">
          <a:avLst/>
        </a:prstGeom>
      </xdr:spPr>
    </xdr:sp>
    <xdr:clientData/>
  </xdr:oneCellAnchor>
  <xdr:oneCellAnchor>
    <xdr:from>
      <xdr:col>2</xdr:col>
      <xdr:colOff>76200</xdr:colOff>
      <xdr:row>17</xdr:row>
      <xdr:rowOff>76200</xdr:rowOff>
    </xdr:from>
    <xdr:ext cx="161925" cy="171450"/>
    <xdr:sp macro="" textlink="">
      <xdr:nvSpPr>
        <xdr:cNvPr id="116" name="CheckBox9" hidden="1">
          <a:extLst>
            <a:ext uri="{63B3BB69-23CF-44E3-9099-C40C66FF867C}">
              <a14:compatExt xmlns:a14="http://schemas.microsoft.com/office/drawing/2010/main" spid="_x0000_s24652"/>
            </a:ext>
            <a:ext uri="{FF2B5EF4-FFF2-40B4-BE49-F238E27FC236}">
              <a16:creationId xmlns:a16="http://schemas.microsoft.com/office/drawing/2014/main" id="{00000000-0008-0000-0200-000074000000}"/>
            </a:ext>
          </a:extLst>
        </xdr:cNvPr>
        <xdr:cNvSpPr/>
      </xdr:nvSpPr>
      <xdr:spPr>
        <a:xfrm>
          <a:off x="2990850" y="5581650"/>
          <a:ext cx="161925" cy="171450"/>
        </a:xfrm>
        <a:prstGeom prst="rect">
          <a:avLst/>
        </a:prstGeom>
      </xdr:spPr>
    </xdr:sp>
    <xdr:clientData/>
  </xdr:oneCellAnchor>
  <xdr:oneCellAnchor>
    <xdr:from>
      <xdr:col>2</xdr:col>
      <xdr:colOff>85725</xdr:colOff>
      <xdr:row>15</xdr:row>
      <xdr:rowOff>66675</xdr:rowOff>
    </xdr:from>
    <xdr:ext cx="161925" cy="171450"/>
    <xdr:sp macro="" textlink="">
      <xdr:nvSpPr>
        <xdr:cNvPr id="117" name="CheckBox4" hidden="1">
          <a:extLst>
            <a:ext uri="{63B3BB69-23CF-44E3-9099-C40C66FF867C}">
              <a14:compatExt xmlns:a14="http://schemas.microsoft.com/office/drawing/2010/main" spid="_x0000_s24653"/>
            </a:ext>
            <a:ext uri="{FF2B5EF4-FFF2-40B4-BE49-F238E27FC236}">
              <a16:creationId xmlns:a16="http://schemas.microsoft.com/office/drawing/2014/main" id="{00000000-0008-0000-0200-000075000000}"/>
            </a:ext>
          </a:extLst>
        </xdr:cNvPr>
        <xdr:cNvSpPr/>
      </xdr:nvSpPr>
      <xdr:spPr>
        <a:xfrm>
          <a:off x="3000375" y="5000625"/>
          <a:ext cx="161925" cy="171450"/>
        </a:xfrm>
        <a:prstGeom prst="rect">
          <a:avLst/>
        </a:prstGeom>
      </xdr:spPr>
    </xdr:sp>
    <xdr:clientData/>
  </xdr:oneCellAnchor>
  <xdr:oneCellAnchor>
    <xdr:from>
      <xdr:col>2</xdr:col>
      <xdr:colOff>85725</xdr:colOff>
      <xdr:row>16</xdr:row>
      <xdr:rowOff>66675</xdr:rowOff>
    </xdr:from>
    <xdr:ext cx="161925" cy="171450"/>
    <xdr:sp macro="" textlink="">
      <xdr:nvSpPr>
        <xdr:cNvPr id="118" name="CheckBox5" hidden="1">
          <a:extLst>
            <a:ext uri="{63B3BB69-23CF-44E3-9099-C40C66FF867C}">
              <a14:compatExt xmlns:a14="http://schemas.microsoft.com/office/drawing/2010/main" spid="_x0000_s24654"/>
            </a:ext>
            <a:ext uri="{FF2B5EF4-FFF2-40B4-BE49-F238E27FC236}">
              <a16:creationId xmlns:a16="http://schemas.microsoft.com/office/drawing/2014/main" id="{00000000-0008-0000-0200-000076000000}"/>
            </a:ext>
          </a:extLst>
        </xdr:cNvPr>
        <xdr:cNvSpPr/>
      </xdr:nvSpPr>
      <xdr:spPr>
        <a:xfrm>
          <a:off x="3000375" y="5286375"/>
          <a:ext cx="161925" cy="171450"/>
        </a:xfrm>
        <a:prstGeom prst="rect">
          <a:avLst/>
        </a:prstGeom>
      </xdr:spPr>
    </xdr:sp>
    <xdr:clientData/>
  </xdr:oneCellAnchor>
  <xdr:oneCellAnchor>
    <xdr:from>
      <xdr:col>2</xdr:col>
      <xdr:colOff>85725</xdr:colOff>
      <xdr:row>17</xdr:row>
      <xdr:rowOff>76200</xdr:rowOff>
    </xdr:from>
    <xdr:ext cx="161925" cy="171450"/>
    <xdr:sp macro="" textlink="">
      <xdr:nvSpPr>
        <xdr:cNvPr id="119" name="CheckBox6" hidden="1">
          <a:extLst>
            <a:ext uri="{63B3BB69-23CF-44E3-9099-C40C66FF867C}">
              <a14:compatExt xmlns:a14="http://schemas.microsoft.com/office/drawing/2010/main" spid="_x0000_s24655"/>
            </a:ext>
            <a:ext uri="{FF2B5EF4-FFF2-40B4-BE49-F238E27FC236}">
              <a16:creationId xmlns:a16="http://schemas.microsoft.com/office/drawing/2014/main" id="{00000000-0008-0000-0200-000077000000}"/>
            </a:ext>
          </a:extLst>
        </xdr:cNvPr>
        <xdr:cNvSpPr/>
      </xdr:nvSpPr>
      <xdr:spPr>
        <a:xfrm>
          <a:off x="3000375" y="5581650"/>
          <a:ext cx="161925" cy="171450"/>
        </a:xfrm>
        <a:prstGeom prst="rect">
          <a:avLst/>
        </a:prstGeom>
      </xdr:spPr>
    </xdr:sp>
    <xdr:clientData/>
  </xdr:oneCellAnchor>
  <mc:AlternateContent xmlns:mc="http://schemas.openxmlformats.org/markup-compatibility/2006">
    <mc:Choice xmlns:a14="http://schemas.microsoft.com/office/drawing/2010/main" Requires="a14">
      <xdr:twoCellAnchor editAs="oneCell">
        <xdr:from>
          <xdr:col>1</xdr:col>
          <xdr:colOff>88900</xdr:colOff>
          <xdr:row>12</xdr:row>
          <xdr:rowOff>69850</xdr:rowOff>
        </xdr:from>
        <xdr:to>
          <xdr:col>1</xdr:col>
          <xdr:colOff>254000</xdr:colOff>
          <xdr:row>12</xdr:row>
          <xdr:rowOff>241300</xdr:rowOff>
        </xdr:to>
        <xdr:sp macro="" textlink="">
          <xdr:nvSpPr>
            <xdr:cNvPr id="25625" name="CheckBox23" hidden="1">
              <a:extLst>
                <a:ext uri="{63B3BB69-23CF-44E3-9099-C40C66FF867C}">
                  <a14:compatExt spid="_x0000_s25625"/>
                </a:ext>
                <a:ext uri="{FF2B5EF4-FFF2-40B4-BE49-F238E27FC236}">
                  <a16:creationId xmlns:a16="http://schemas.microsoft.com/office/drawing/2014/main" id="{00000000-0008-0000-0200-000019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88900</xdr:colOff>
          <xdr:row>13</xdr:row>
          <xdr:rowOff>69850</xdr:rowOff>
        </xdr:from>
        <xdr:to>
          <xdr:col>1</xdr:col>
          <xdr:colOff>254000</xdr:colOff>
          <xdr:row>13</xdr:row>
          <xdr:rowOff>241300</xdr:rowOff>
        </xdr:to>
        <xdr:sp macro="" textlink="">
          <xdr:nvSpPr>
            <xdr:cNvPr id="25626" name="CheckBox24" hidden="1">
              <a:extLst>
                <a:ext uri="{63B3BB69-23CF-44E3-9099-C40C66FF867C}">
                  <a14:compatExt spid="_x0000_s25626"/>
                </a:ext>
                <a:ext uri="{FF2B5EF4-FFF2-40B4-BE49-F238E27FC236}">
                  <a16:creationId xmlns:a16="http://schemas.microsoft.com/office/drawing/2014/main" id="{00000000-0008-0000-0200-00001A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88900</xdr:colOff>
          <xdr:row>14</xdr:row>
          <xdr:rowOff>69850</xdr:rowOff>
        </xdr:from>
        <xdr:to>
          <xdr:col>1</xdr:col>
          <xdr:colOff>254000</xdr:colOff>
          <xdr:row>14</xdr:row>
          <xdr:rowOff>241300</xdr:rowOff>
        </xdr:to>
        <xdr:sp macro="" textlink="">
          <xdr:nvSpPr>
            <xdr:cNvPr id="25627" name="CheckBox25" hidden="1">
              <a:extLst>
                <a:ext uri="{63B3BB69-23CF-44E3-9099-C40C66FF867C}">
                  <a14:compatExt spid="_x0000_s25627"/>
                </a:ext>
                <a:ext uri="{FF2B5EF4-FFF2-40B4-BE49-F238E27FC236}">
                  <a16:creationId xmlns:a16="http://schemas.microsoft.com/office/drawing/2014/main" id="{00000000-0008-0000-0200-00001B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88900</xdr:colOff>
          <xdr:row>19</xdr:row>
          <xdr:rowOff>69850</xdr:rowOff>
        </xdr:from>
        <xdr:to>
          <xdr:col>1</xdr:col>
          <xdr:colOff>254000</xdr:colOff>
          <xdr:row>19</xdr:row>
          <xdr:rowOff>241300</xdr:rowOff>
        </xdr:to>
        <xdr:sp macro="" textlink="">
          <xdr:nvSpPr>
            <xdr:cNvPr id="25628" name="CheckBox26" hidden="1">
              <a:extLst>
                <a:ext uri="{63B3BB69-23CF-44E3-9099-C40C66FF867C}">
                  <a14:compatExt spid="_x0000_s25628"/>
                </a:ext>
                <a:ext uri="{FF2B5EF4-FFF2-40B4-BE49-F238E27FC236}">
                  <a16:creationId xmlns:a16="http://schemas.microsoft.com/office/drawing/2014/main" id="{00000000-0008-0000-0200-00001C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5</xdr:row>
          <xdr:rowOff>69850</xdr:rowOff>
        </xdr:from>
        <xdr:to>
          <xdr:col>2</xdr:col>
          <xdr:colOff>254000</xdr:colOff>
          <xdr:row>5</xdr:row>
          <xdr:rowOff>241300</xdr:rowOff>
        </xdr:to>
        <xdr:sp macro="" textlink="">
          <xdr:nvSpPr>
            <xdr:cNvPr id="25630" name="CheckBox28" hidden="1">
              <a:extLst>
                <a:ext uri="{63B3BB69-23CF-44E3-9099-C40C66FF867C}">
                  <a14:compatExt spid="_x0000_s25630"/>
                </a:ext>
                <a:ext uri="{FF2B5EF4-FFF2-40B4-BE49-F238E27FC236}">
                  <a16:creationId xmlns:a16="http://schemas.microsoft.com/office/drawing/2014/main" id="{00000000-0008-0000-0200-00001E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6</xdr:row>
          <xdr:rowOff>69850</xdr:rowOff>
        </xdr:from>
        <xdr:to>
          <xdr:col>2</xdr:col>
          <xdr:colOff>254000</xdr:colOff>
          <xdr:row>6</xdr:row>
          <xdr:rowOff>241300</xdr:rowOff>
        </xdr:to>
        <xdr:sp macro="" textlink="">
          <xdr:nvSpPr>
            <xdr:cNvPr id="25631" name="CheckBox29" hidden="1">
              <a:extLst>
                <a:ext uri="{63B3BB69-23CF-44E3-9099-C40C66FF867C}">
                  <a14:compatExt spid="_x0000_s25631"/>
                </a:ext>
                <a:ext uri="{FF2B5EF4-FFF2-40B4-BE49-F238E27FC236}">
                  <a16:creationId xmlns:a16="http://schemas.microsoft.com/office/drawing/2014/main" id="{00000000-0008-0000-0200-00001F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7</xdr:row>
          <xdr:rowOff>69850</xdr:rowOff>
        </xdr:from>
        <xdr:to>
          <xdr:col>2</xdr:col>
          <xdr:colOff>254000</xdr:colOff>
          <xdr:row>7</xdr:row>
          <xdr:rowOff>241300</xdr:rowOff>
        </xdr:to>
        <xdr:sp macro="" textlink="">
          <xdr:nvSpPr>
            <xdr:cNvPr id="25632" name="CheckBox30" hidden="1">
              <a:extLst>
                <a:ext uri="{63B3BB69-23CF-44E3-9099-C40C66FF867C}">
                  <a14:compatExt spid="_x0000_s25632"/>
                </a:ext>
                <a:ext uri="{FF2B5EF4-FFF2-40B4-BE49-F238E27FC236}">
                  <a16:creationId xmlns:a16="http://schemas.microsoft.com/office/drawing/2014/main" id="{00000000-0008-0000-0200-000020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8</xdr:row>
          <xdr:rowOff>69850</xdr:rowOff>
        </xdr:from>
        <xdr:to>
          <xdr:col>2</xdr:col>
          <xdr:colOff>254000</xdr:colOff>
          <xdr:row>8</xdr:row>
          <xdr:rowOff>241300</xdr:rowOff>
        </xdr:to>
        <xdr:sp macro="" textlink="">
          <xdr:nvSpPr>
            <xdr:cNvPr id="25633" name="CheckBox31" hidden="1">
              <a:extLst>
                <a:ext uri="{63B3BB69-23CF-44E3-9099-C40C66FF867C}">
                  <a14:compatExt spid="_x0000_s25633"/>
                </a:ext>
                <a:ext uri="{FF2B5EF4-FFF2-40B4-BE49-F238E27FC236}">
                  <a16:creationId xmlns:a16="http://schemas.microsoft.com/office/drawing/2014/main" id="{00000000-0008-0000-0200-000021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9</xdr:row>
          <xdr:rowOff>69850</xdr:rowOff>
        </xdr:from>
        <xdr:to>
          <xdr:col>2</xdr:col>
          <xdr:colOff>254000</xdr:colOff>
          <xdr:row>9</xdr:row>
          <xdr:rowOff>241300</xdr:rowOff>
        </xdr:to>
        <xdr:sp macro="" textlink="">
          <xdr:nvSpPr>
            <xdr:cNvPr id="25634" name="CheckBox32" hidden="1">
              <a:extLst>
                <a:ext uri="{63B3BB69-23CF-44E3-9099-C40C66FF867C}">
                  <a14:compatExt spid="_x0000_s25634"/>
                </a:ext>
                <a:ext uri="{FF2B5EF4-FFF2-40B4-BE49-F238E27FC236}">
                  <a16:creationId xmlns:a16="http://schemas.microsoft.com/office/drawing/2014/main" id="{00000000-0008-0000-0200-000022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10</xdr:row>
          <xdr:rowOff>69850</xdr:rowOff>
        </xdr:from>
        <xdr:to>
          <xdr:col>2</xdr:col>
          <xdr:colOff>254000</xdr:colOff>
          <xdr:row>10</xdr:row>
          <xdr:rowOff>241300</xdr:rowOff>
        </xdr:to>
        <xdr:sp macro="" textlink="">
          <xdr:nvSpPr>
            <xdr:cNvPr id="25635" name="CheckBox33" hidden="1">
              <a:extLst>
                <a:ext uri="{63B3BB69-23CF-44E3-9099-C40C66FF867C}">
                  <a14:compatExt spid="_x0000_s25635"/>
                </a:ext>
                <a:ext uri="{FF2B5EF4-FFF2-40B4-BE49-F238E27FC236}">
                  <a16:creationId xmlns:a16="http://schemas.microsoft.com/office/drawing/2014/main" id="{00000000-0008-0000-0200-000023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12</xdr:row>
          <xdr:rowOff>69850</xdr:rowOff>
        </xdr:from>
        <xdr:to>
          <xdr:col>2</xdr:col>
          <xdr:colOff>254000</xdr:colOff>
          <xdr:row>12</xdr:row>
          <xdr:rowOff>241300</xdr:rowOff>
        </xdr:to>
        <xdr:sp macro="" textlink="">
          <xdr:nvSpPr>
            <xdr:cNvPr id="25636" name="CheckBox34" hidden="1">
              <a:extLst>
                <a:ext uri="{63B3BB69-23CF-44E3-9099-C40C66FF867C}">
                  <a14:compatExt spid="_x0000_s25636"/>
                </a:ext>
                <a:ext uri="{FF2B5EF4-FFF2-40B4-BE49-F238E27FC236}">
                  <a16:creationId xmlns:a16="http://schemas.microsoft.com/office/drawing/2014/main" id="{00000000-0008-0000-0200-000024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13</xdr:row>
          <xdr:rowOff>69850</xdr:rowOff>
        </xdr:from>
        <xdr:to>
          <xdr:col>2</xdr:col>
          <xdr:colOff>254000</xdr:colOff>
          <xdr:row>13</xdr:row>
          <xdr:rowOff>241300</xdr:rowOff>
        </xdr:to>
        <xdr:sp macro="" textlink="">
          <xdr:nvSpPr>
            <xdr:cNvPr id="25637" name="CheckBox35" hidden="1">
              <a:extLst>
                <a:ext uri="{63B3BB69-23CF-44E3-9099-C40C66FF867C}">
                  <a14:compatExt spid="_x0000_s25637"/>
                </a:ext>
                <a:ext uri="{FF2B5EF4-FFF2-40B4-BE49-F238E27FC236}">
                  <a16:creationId xmlns:a16="http://schemas.microsoft.com/office/drawing/2014/main" id="{00000000-0008-0000-0200-000025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14</xdr:row>
          <xdr:rowOff>69850</xdr:rowOff>
        </xdr:from>
        <xdr:to>
          <xdr:col>2</xdr:col>
          <xdr:colOff>254000</xdr:colOff>
          <xdr:row>14</xdr:row>
          <xdr:rowOff>241300</xdr:rowOff>
        </xdr:to>
        <xdr:sp macro="" textlink="">
          <xdr:nvSpPr>
            <xdr:cNvPr id="25638" name="CheckBox36" hidden="1">
              <a:extLst>
                <a:ext uri="{63B3BB69-23CF-44E3-9099-C40C66FF867C}">
                  <a14:compatExt spid="_x0000_s25638"/>
                </a:ext>
                <a:ext uri="{FF2B5EF4-FFF2-40B4-BE49-F238E27FC236}">
                  <a16:creationId xmlns:a16="http://schemas.microsoft.com/office/drawing/2014/main" id="{00000000-0008-0000-0200-000026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15</xdr:row>
          <xdr:rowOff>69850</xdr:rowOff>
        </xdr:from>
        <xdr:to>
          <xdr:col>2</xdr:col>
          <xdr:colOff>254000</xdr:colOff>
          <xdr:row>15</xdr:row>
          <xdr:rowOff>241300</xdr:rowOff>
        </xdr:to>
        <xdr:sp macro="" textlink="">
          <xdr:nvSpPr>
            <xdr:cNvPr id="25639" name="CheckBox37" hidden="1">
              <a:extLst>
                <a:ext uri="{63B3BB69-23CF-44E3-9099-C40C66FF867C}">
                  <a14:compatExt spid="_x0000_s25639"/>
                </a:ext>
                <a:ext uri="{FF2B5EF4-FFF2-40B4-BE49-F238E27FC236}">
                  <a16:creationId xmlns:a16="http://schemas.microsoft.com/office/drawing/2014/main" id="{00000000-0008-0000-0200-000027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16</xdr:row>
          <xdr:rowOff>69850</xdr:rowOff>
        </xdr:from>
        <xdr:to>
          <xdr:col>2</xdr:col>
          <xdr:colOff>254000</xdr:colOff>
          <xdr:row>16</xdr:row>
          <xdr:rowOff>241300</xdr:rowOff>
        </xdr:to>
        <xdr:sp macro="" textlink="">
          <xdr:nvSpPr>
            <xdr:cNvPr id="25640" name="CheckBox38" hidden="1">
              <a:extLst>
                <a:ext uri="{63B3BB69-23CF-44E3-9099-C40C66FF867C}">
                  <a14:compatExt spid="_x0000_s25640"/>
                </a:ext>
                <a:ext uri="{FF2B5EF4-FFF2-40B4-BE49-F238E27FC236}">
                  <a16:creationId xmlns:a16="http://schemas.microsoft.com/office/drawing/2014/main" id="{00000000-0008-0000-0200-000028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17</xdr:row>
          <xdr:rowOff>69850</xdr:rowOff>
        </xdr:from>
        <xdr:to>
          <xdr:col>2</xdr:col>
          <xdr:colOff>254000</xdr:colOff>
          <xdr:row>17</xdr:row>
          <xdr:rowOff>241300</xdr:rowOff>
        </xdr:to>
        <xdr:sp macro="" textlink="">
          <xdr:nvSpPr>
            <xdr:cNvPr id="25641" name="CheckBox39" hidden="1">
              <a:extLst>
                <a:ext uri="{63B3BB69-23CF-44E3-9099-C40C66FF867C}">
                  <a14:compatExt spid="_x0000_s25641"/>
                </a:ext>
                <a:ext uri="{FF2B5EF4-FFF2-40B4-BE49-F238E27FC236}">
                  <a16:creationId xmlns:a16="http://schemas.microsoft.com/office/drawing/2014/main" id="{00000000-0008-0000-0200-000029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18</xdr:row>
          <xdr:rowOff>69850</xdr:rowOff>
        </xdr:from>
        <xdr:to>
          <xdr:col>2</xdr:col>
          <xdr:colOff>254000</xdr:colOff>
          <xdr:row>18</xdr:row>
          <xdr:rowOff>241300</xdr:rowOff>
        </xdr:to>
        <xdr:sp macro="" textlink="">
          <xdr:nvSpPr>
            <xdr:cNvPr id="25642" name="CheckBox40" hidden="1">
              <a:extLst>
                <a:ext uri="{63B3BB69-23CF-44E3-9099-C40C66FF867C}">
                  <a14:compatExt spid="_x0000_s25642"/>
                </a:ext>
                <a:ext uri="{FF2B5EF4-FFF2-40B4-BE49-F238E27FC236}">
                  <a16:creationId xmlns:a16="http://schemas.microsoft.com/office/drawing/2014/main" id="{00000000-0008-0000-0200-00002A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19</xdr:row>
          <xdr:rowOff>69850</xdr:rowOff>
        </xdr:from>
        <xdr:to>
          <xdr:col>2</xdr:col>
          <xdr:colOff>254000</xdr:colOff>
          <xdr:row>19</xdr:row>
          <xdr:rowOff>241300</xdr:rowOff>
        </xdr:to>
        <xdr:sp macro="" textlink="">
          <xdr:nvSpPr>
            <xdr:cNvPr id="25643" name="CheckBox41" hidden="1">
              <a:extLst>
                <a:ext uri="{63B3BB69-23CF-44E3-9099-C40C66FF867C}">
                  <a14:compatExt spid="_x0000_s25643"/>
                </a:ext>
                <a:ext uri="{FF2B5EF4-FFF2-40B4-BE49-F238E27FC236}">
                  <a16:creationId xmlns:a16="http://schemas.microsoft.com/office/drawing/2014/main" id="{00000000-0008-0000-0200-00002B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20</xdr:row>
          <xdr:rowOff>69850</xdr:rowOff>
        </xdr:from>
        <xdr:to>
          <xdr:col>2</xdr:col>
          <xdr:colOff>254000</xdr:colOff>
          <xdr:row>20</xdr:row>
          <xdr:rowOff>241300</xdr:rowOff>
        </xdr:to>
        <xdr:sp macro="" textlink="">
          <xdr:nvSpPr>
            <xdr:cNvPr id="25644" name="CheckBox42" hidden="1">
              <a:extLst>
                <a:ext uri="{63B3BB69-23CF-44E3-9099-C40C66FF867C}">
                  <a14:compatExt spid="_x0000_s25644"/>
                </a:ext>
                <a:ext uri="{FF2B5EF4-FFF2-40B4-BE49-F238E27FC236}">
                  <a16:creationId xmlns:a16="http://schemas.microsoft.com/office/drawing/2014/main" id="{00000000-0008-0000-0200-00002C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oneCellAnchor>
    <xdr:from>
      <xdr:col>1</xdr:col>
      <xdr:colOff>85725</xdr:colOff>
      <xdr:row>16</xdr:row>
      <xdr:rowOff>66675</xdr:rowOff>
    </xdr:from>
    <xdr:ext cx="161925" cy="171450"/>
    <xdr:sp macro="" textlink="">
      <xdr:nvSpPr>
        <xdr:cNvPr id="146" name="CheckBox4" hidden="1">
          <a:extLst>
            <a:ext uri="{63B3BB69-23CF-44E3-9099-C40C66FF867C}">
              <a14:compatExt xmlns:a14="http://schemas.microsoft.com/office/drawing/2010/main" spid="_x0000_s24606"/>
            </a:ext>
            <a:ext uri="{FF2B5EF4-FFF2-40B4-BE49-F238E27FC236}">
              <a16:creationId xmlns:a16="http://schemas.microsoft.com/office/drawing/2014/main" id="{00000000-0008-0000-0200-000092000000}"/>
            </a:ext>
          </a:extLst>
        </xdr:cNvPr>
        <xdr:cNvSpPr/>
      </xdr:nvSpPr>
      <xdr:spPr>
        <a:xfrm>
          <a:off x="85725" y="5000625"/>
          <a:ext cx="161925" cy="171450"/>
        </a:xfrm>
        <a:prstGeom prst="rect">
          <a:avLst/>
        </a:prstGeom>
      </xdr:spPr>
    </xdr:sp>
    <xdr:clientData/>
  </xdr:oneCellAnchor>
  <xdr:oneCellAnchor>
    <xdr:from>
      <xdr:col>1</xdr:col>
      <xdr:colOff>85725</xdr:colOff>
      <xdr:row>17</xdr:row>
      <xdr:rowOff>66675</xdr:rowOff>
    </xdr:from>
    <xdr:ext cx="161925" cy="171450"/>
    <xdr:sp macro="" textlink="">
      <xdr:nvSpPr>
        <xdr:cNvPr id="147" name="CheckBox5" hidden="1">
          <a:extLst>
            <a:ext uri="{63B3BB69-23CF-44E3-9099-C40C66FF867C}">
              <a14:compatExt xmlns:a14="http://schemas.microsoft.com/office/drawing/2010/main" spid="_x0000_s24607"/>
            </a:ext>
            <a:ext uri="{FF2B5EF4-FFF2-40B4-BE49-F238E27FC236}">
              <a16:creationId xmlns:a16="http://schemas.microsoft.com/office/drawing/2014/main" id="{00000000-0008-0000-0200-000093000000}"/>
            </a:ext>
          </a:extLst>
        </xdr:cNvPr>
        <xdr:cNvSpPr/>
      </xdr:nvSpPr>
      <xdr:spPr>
        <a:xfrm>
          <a:off x="85725" y="5286375"/>
          <a:ext cx="161925" cy="171450"/>
        </a:xfrm>
        <a:prstGeom prst="rect">
          <a:avLst/>
        </a:prstGeom>
      </xdr:spPr>
    </xdr:sp>
    <xdr:clientData/>
  </xdr:oneCellAnchor>
  <xdr:oneCellAnchor>
    <xdr:from>
      <xdr:col>1</xdr:col>
      <xdr:colOff>76200</xdr:colOff>
      <xdr:row>20</xdr:row>
      <xdr:rowOff>66675</xdr:rowOff>
    </xdr:from>
    <xdr:ext cx="161925" cy="171450"/>
    <xdr:sp macro="" textlink="">
      <xdr:nvSpPr>
        <xdr:cNvPr id="148" name="CheckBox2" hidden="1">
          <a:extLst>
            <a:ext uri="{63B3BB69-23CF-44E3-9099-C40C66FF867C}">
              <a14:compatExt xmlns:a14="http://schemas.microsoft.com/office/drawing/2010/main" spid="_x0000_s24610"/>
            </a:ext>
            <a:ext uri="{FF2B5EF4-FFF2-40B4-BE49-F238E27FC236}">
              <a16:creationId xmlns:a16="http://schemas.microsoft.com/office/drawing/2014/main" id="{00000000-0008-0000-0200-000094000000}"/>
            </a:ext>
          </a:extLst>
        </xdr:cNvPr>
        <xdr:cNvSpPr/>
      </xdr:nvSpPr>
      <xdr:spPr>
        <a:xfrm>
          <a:off x="76200" y="6143625"/>
          <a:ext cx="161925" cy="171450"/>
        </a:xfrm>
        <a:prstGeom prst="rect">
          <a:avLst/>
        </a:prstGeom>
      </xdr:spPr>
    </xdr:sp>
    <xdr:clientData/>
  </xdr:oneCellAnchor>
  <xdr:oneCellAnchor>
    <xdr:from>
      <xdr:col>1</xdr:col>
      <xdr:colOff>85725</xdr:colOff>
      <xdr:row>16</xdr:row>
      <xdr:rowOff>66675</xdr:rowOff>
    </xdr:from>
    <xdr:ext cx="161925" cy="171450"/>
    <xdr:sp macro="" textlink="">
      <xdr:nvSpPr>
        <xdr:cNvPr id="153" name="CheckBox4" hidden="1">
          <a:extLst>
            <a:ext uri="{63B3BB69-23CF-44E3-9099-C40C66FF867C}">
              <a14:compatExt xmlns:a14="http://schemas.microsoft.com/office/drawing/2010/main" spid="_x0000_s24606"/>
            </a:ext>
            <a:ext uri="{FF2B5EF4-FFF2-40B4-BE49-F238E27FC236}">
              <a16:creationId xmlns:a16="http://schemas.microsoft.com/office/drawing/2014/main" id="{00000000-0008-0000-0200-000099000000}"/>
            </a:ext>
          </a:extLst>
        </xdr:cNvPr>
        <xdr:cNvSpPr/>
      </xdr:nvSpPr>
      <xdr:spPr>
        <a:xfrm>
          <a:off x="85725" y="5000625"/>
          <a:ext cx="161925" cy="171450"/>
        </a:xfrm>
        <a:prstGeom prst="rect">
          <a:avLst/>
        </a:prstGeom>
      </xdr:spPr>
    </xdr:sp>
    <xdr:clientData/>
  </xdr:oneCellAnchor>
  <xdr:oneCellAnchor>
    <xdr:from>
      <xdr:col>1</xdr:col>
      <xdr:colOff>85725</xdr:colOff>
      <xdr:row>17</xdr:row>
      <xdr:rowOff>66675</xdr:rowOff>
    </xdr:from>
    <xdr:ext cx="161925" cy="171450"/>
    <xdr:sp macro="" textlink="">
      <xdr:nvSpPr>
        <xdr:cNvPr id="154" name="CheckBox5" hidden="1">
          <a:extLst>
            <a:ext uri="{63B3BB69-23CF-44E3-9099-C40C66FF867C}">
              <a14:compatExt xmlns:a14="http://schemas.microsoft.com/office/drawing/2010/main" spid="_x0000_s24607"/>
            </a:ext>
            <a:ext uri="{FF2B5EF4-FFF2-40B4-BE49-F238E27FC236}">
              <a16:creationId xmlns:a16="http://schemas.microsoft.com/office/drawing/2014/main" id="{00000000-0008-0000-0200-00009A000000}"/>
            </a:ext>
          </a:extLst>
        </xdr:cNvPr>
        <xdr:cNvSpPr/>
      </xdr:nvSpPr>
      <xdr:spPr>
        <a:xfrm>
          <a:off x="85725" y="5286375"/>
          <a:ext cx="161925" cy="171450"/>
        </a:xfrm>
        <a:prstGeom prst="rect">
          <a:avLst/>
        </a:prstGeom>
      </xdr:spPr>
    </xdr:sp>
    <xdr:clientData/>
  </xdr:oneCellAnchor>
  <xdr:oneCellAnchor>
    <xdr:from>
      <xdr:col>1</xdr:col>
      <xdr:colOff>76200</xdr:colOff>
      <xdr:row>20</xdr:row>
      <xdr:rowOff>66675</xdr:rowOff>
    </xdr:from>
    <xdr:ext cx="161925" cy="171450"/>
    <xdr:sp macro="" textlink="">
      <xdr:nvSpPr>
        <xdr:cNvPr id="155" name="CheckBox2" hidden="1">
          <a:extLst>
            <a:ext uri="{63B3BB69-23CF-44E3-9099-C40C66FF867C}">
              <a14:compatExt xmlns:a14="http://schemas.microsoft.com/office/drawing/2010/main" spid="_x0000_s24610"/>
            </a:ext>
            <a:ext uri="{FF2B5EF4-FFF2-40B4-BE49-F238E27FC236}">
              <a16:creationId xmlns:a16="http://schemas.microsoft.com/office/drawing/2014/main" id="{00000000-0008-0000-0200-00009B000000}"/>
            </a:ext>
          </a:extLst>
        </xdr:cNvPr>
        <xdr:cNvSpPr/>
      </xdr:nvSpPr>
      <xdr:spPr>
        <a:xfrm>
          <a:off x="76200" y="6143625"/>
          <a:ext cx="161925" cy="171450"/>
        </a:xfrm>
        <a:prstGeom prst="rect">
          <a:avLst/>
        </a:prstGeom>
      </xdr:spPr>
    </xdr:sp>
    <xdr:clientData/>
  </xdr:oneCellAnchor>
  <xdr:oneCellAnchor>
    <xdr:from>
      <xdr:col>2</xdr:col>
      <xdr:colOff>0</xdr:colOff>
      <xdr:row>16</xdr:row>
      <xdr:rowOff>76200</xdr:rowOff>
    </xdr:from>
    <xdr:ext cx="161925" cy="171450"/>
    <xdr:sp macro="" textlink="">
      <xdr:nvSpPr>
        <xdr:cNvPr id="157" name="CheckBox7" hidden="1">
          <a:extLst>
            <a:ext uri="{63B3BB69-23CF-44E3-9099-C40C66FF867C}">
              <a14:compatExt xmlns:a14="http://schemas.microsoft.com/office/drawing/2010/main" spid="_x0000_s24621"/>
            </a:ext>
            <a:ext uri="{FF2B5EF4-FFF2-40B4-BE49-F238E27FC236}">
              <a16:creationId xmlns:a16="http://schemas.microsoft.com/office/drawing/2014/main" id="{00000000-0008-0000-0200-00009D000000}"/>
            </a:ext>
          </a:extLst>
        </xdr:cNvPr>
        <xdr:cNvSpPr/>
      </xdr:nvSpPr>
      <xdr:spPr>
        <a:xfrm>
          <a:off x="2847975" y="5010150"/>
          <a:ext cx="161925" cy="171450"/>
        </a:xfrm>
        <a:prstGeom prst="rect">
          <a:avLst/>
        </a:prstGeom>
      </xdr:spPr>
    </xdr:sp>
    <xdr:clientData/>
  </xdr:oneCellAnchor>
  <xdr:oneCellAnchor>
    <xdr:from>
      <xdr:col>2</xdr:col>
      <xdr:colOff>0</xdr:colOff>
      <xdr:row>17</xdr:row>
      <xdr:rowOff>76200</xdr:rowOff>
    </xdr:from>
    <xdr:ext cx="161925" cy="171450"/>
    <xdr:sp macro="" textlink="">
      <xdr:nvSpPr>
        <xdr:cNvPr id="158" name="CheckBox8" hidden="1">
          <a:extLst>
            <a:ext uri="{63B3BB69-23CF-44E3-9099-C40C66FF867C}">
              <a14:compatExt xmlns:a14="http://schemas.microsoft.com/office/drawing/2010/main" spid="_x0000_s24622"/>
            </a:ext>
            <a:ext uri="{FF2B5EF4-FFF2-40B4-BE49-F238E27FC236}">
              <a16:creationId xmlns:a16="http://schemas.microsoft.com/office/drawing/2014/main" id="{00000000-0008-0000-0200-00009E000000}"/>
            </a:ext>
          </a:extLst>
        </xdr:cNvPr>
        <xdr:cNvSpPr/>
      </xdr:nvSpPr>
      <xdr:spPr>
        <a:xfrm>
          <a:off x="2847975" y="5295900"/>
          <a:ext cx="161925" cy="171450"/>
        </a:xfrm>
        <a:prstGeom prst="rect">
          <a:avLst/>
        </a:prstGeom>
      </xdr:spPr>
    </xdr:sp>
    <xdr:clientData/>
  </xdr:oneCellAnchor>
  <xdr:oneCellAnchor>
    <xdr:from>
      <xdr:col>2</xdr:col>
      <xdr:colOff>0</xdr:colOff>
      <xdr:row>18</xdr:row>
      <xdr:rowOff>76200</xdr:rowOff>
    </xdr:from>
    <xdr:ext cx="161925" cy="171450"/>
    <xdr:sp macro="" textlink="">
      <xdr:nvSpPr>
        <xdr:cNvPr id="159" name="CheckBox9" hidden="1">
          <a:extLst>
            <a:ext uri="{63B3BB69-23CF-44E3-9099-C40C66FF867C}">
              <a14:compatExt xmlns:a14="http://schemas.microsoft.com/office/drawing/2010/main" spid="_x0000_s24623"/>
            </a:ext>
            <a:ext uri="{FF2B5EF4-FFF2-40B4-BE49-F238E27FC236}">
              <a16:creationId xmlns:a16="http://schemas.microsoft.com/office/drawing/2014/main" id="{00000000-0008-0000-0200-00009F000000}"/>
            </a:ext>
          </a:extLst>
        </xdr:cNvPr>
        <xdr:cNvSpPr/>
      </xdr:nvSpPr>
      <xdr:spPr>
        <a:xfrm>
          <a:off x="2847975" y="5581650"/>
          <a:ext cx="161925" cy="171450"/>
        </a:xfrm>
        <a:prstGeom prst="rect">
          <a:avLst/>
        </a:prstGeom>
      </xdr:spPr>
    </xdr:sp>
    <xdr:clientData/>
  </xdr:oneCellAnchor>
  <xdr:oneCellAnchor>
    <xdr:from>
      <xdr:col>2</xdr:col>
      <xdr:colOff>0</xdr:colOff>
      <xdr:row>19</xdr:row>
      <xdr:rowOff>76200</xdr:rowOff>
    </xdr:from>
    <xdr:ext cx="161925" cy="171450"/>
    <xdr:sp macro="" textlink="">
      <xdr:nvSpPr>
        <xdr:cNvPr id="160" name="CheckBox10" hidden="1">
          <a:extLst>
            <a:ext uri="{63B3BB69-23CF-44E3-9099-C40C66FF867C}">
              <a14:compatExt xmlns:a14="http://schemas.microsoft.com/office/drawing/2010/main" spid="_x0000_s24624"/>
            </a:ext>
            <a:ext uri="{FF2B5EF4-FFF2-40B4-BE49-F238E27FC236}">
              <a16:creationId xmlns:a16="http://schemas.microsoft.com/office/drawing/2014/main" id="{00000000-0008-0000-0200-0000A0000000}"/>
            </a:ext>
          </a:extLst>
        </xdr:cNvPr>
        <xdr:cNvSpPr/>
      </xdr:nvSpPr>
      <xdr:spPr>
        <a:xfrm>
          <a:off x="2847975" y="5867400"/>
          <a:ext cx="161925" cy="171450"/>
        </a:xfrm>
        <a:prstGeom prst="rect">
          <a:avLst/>
        </a:prstGeom>
      </xdr:spPr>
    </xdr:sp>
    <xdr:clientData/>
  </xdr:oneCellAnchor>
  <xdr:oneCellAnchor>
    <xdr:from>
      <xdr:col>2</xdr:col>
      <xdr:colOff>0</xdr:colOff>
      <xdr:row>16</xdr:row>
      <xdr:rowOff>66675</xdr:rowOff>
    </xdr:from>
    <xdr:ext cx="161925" cy="171450"/>
    <xdr:sp macro="" textlink="">
      <xdr:nvSpPr>
        <xdr:cNvPr id="161" name="CheckBox4" hidden="1">
          <a:extLst>
            <a:ext uri="{63B3BB69-23CF-44E3-9099-C40C66FF867C}">
              <a14:compatExt xmlns:a14="http://schemas.microsoft.com/office/drawing/2010/main" spid="_x0000_s24630"/>
            </a:ext>
            <a:ext uri="{FF2B5EF4-FFF2-40B4-BE49-F238E27FC236}">
              <a16:creationId xmlns:a16="http://schemas.microsoft.com/office/drawing/2014/main" id="{00000000-0008-0000-0200-0000A1000000}"/>
            </a:ext>
          </a:extLst>
        </xdr:cNvPr>
        <xdr:cNvSpPr/>
      </xdr:nvSpPr>
      <xdr:spPr>
        <a:xfrm>
          <a:off x="2847975" y="5000625"/>
          <a:ext cx="161925" cy="171450"/>
        </a:xfrm>
        <a:prstGeom prst="rect">
          <a:avLst/>
        </a:prstGeom>
      </xdr:spPr>
    </xdr:sp>
    <xdr:clientData/>
  </xdr:oneCellAnchor>
  <xdr:oneCellAnchor>
    <xdr:from>
      <xdr:col>2</xdr:col>
      <xdr:colOff>0</xdr:colOff>
      <xdr:row>17</xdr:row>
      <xdr:rowOff>66675</xdr:rowOff>
    </xdr:from>
    <xdr:ext cx="161925" cy="171450"/>
    <xdr:sp macro="" textlink="">
      <xdr:nvSpPr>
        <xdr:cNvPr id="162" name="CheckBox5" hidden="1">
          <a:extLst>
            <a:ext uri="{63B3BB69-23CF-44E3-9099-C40C66FF867C}">
              <a14:compatExt xmlns:a14="http://schemas.microsoft.com/office/drawing/2010/main" spid="_x0000_s24631"/>
            </a:ext>
            <a:ext uri="{FF2B5EF4-FFF2-40B4-BE49-F238E27FC236}">
              <a16:creationId xmlns:a16="http://schemas.microsoft.com/office/drawing/2014/main" id="{00000000-0008-0000-0200-0000A2000000}"/>
            </a:ext>
          </a:extLst>
        </xdr:cNvPr>
        <xdr:cNvSpPr/>
      </xdr:nvSpPr>
      <xdr:spPr>
        <a:xfrm>
          <a:off x="2847975" y="5286375"/>
          <a:ext cx="161925" cy="171450"/>
        </a:xfrm>
        <a:prstGeom prst="rect">
          <a:avLst/>
        </a:prstGeom>
      </xdr:spPr>
    </xdr:sp>
    <xdr:clientData/>
  </xdr:oneCellAnchor>
  <xdr:oneCellAnchor>
    <xdr:from>
      <xdr:col>2</xdr:col>
      <xdr:colOff>0</xdr:colOff>
      <xdr:row>18</xdr:row>
      <xdr:rowOff>76200</xdr:rowOff>
    </xdr:from>
    <xdr:ext cx="161925" cy="171450"/>
    <xdr:sp macro="" textlink="">
      <xdr:nvSpPr>
        <xdr:cNvPr id="163" name="CheckBox6" hidden="1">
          <a:extLst>
            <a:ext uri="{63B3BB69-23CF-44E3-9099-C40C66FF867C}">
              <a14:compatExt xmlns:a14="http://schemas.microsoft.com/office/drawing/2010/main" spid="_x0000_s24632"/>
            </a:ext>
            <a:ext uri="{FF2B5EF4-FFF2-40B4-BE49-F238E27FC236}">
              <a16:creationId xmlns:a16="http://schemas.microsoft.com/office/drawing/2014/main" id="{00000000-0008-0000-0200-0000A3000000}"/>
            </a:ext>
          </a:extLst>
        </xdr:cNvPr>
        <xdr:cNvSpPr/>
      </xdr:nvSpPr>
      <xdr:spPr>
        <a:xfrm>
          <a:off x="2847975" y="5581650"/>
          <a:ext cx="161925" cy="171450"/>
        </a:xfrm>
        <a:prstGeom prst="rect">
          <a:avLst/>
        </a:prstGeom>
      </xdr:spPr>
    </xdr:sp>
    <xdr:clientData/>
  </xdr:oneCellAnchor>
  <xdr:oneCellAnchor>
    <xdr:from>
      <xdr:col>2</xdr:col>
      <xdr:colOff>0</xdr:colOff>
      <xdr:row>20</xdr:row>
      <xdr:rowOff>76200</xdr:rowOff>
    </xdr:from>
    <xdr:ext cx="161925" cy="171450"/>
    <xdr:sp macro="" textlink="">
      <xdr:nvSpPr>
        <xdr:cNvPr id="164" name="CheckBox2" hidden="1">
          <a:extLst>
            <a:ext uri="{63B3BB69-23CF-44E3-9099-C40C66FF867C}">
              <a14:compatExt xmlns:a14="http://schemas.microsoft.com/office/drawing/2010/main" spid="_x0000_s24634"/>
            </a:ext>
            <a:ext uri="{FF2B5EF4-FFF2-40B4-BE49-F238E27FC236}">
              <a16:creationId xmlns:a16="http://schemas.microsoft.com/office/drawing/2014/main" id="{00000000-0008-0000-0200-0000A4000000}"/>
            </a:ext>
          </a:extLst>
        </xdr:cNvPr>
        <xdr:cNvSpPr/>
      </xdr:nvSpPr>
      <xdr:spPr>
        <a:xfrm>
          <a:off x="2847975" y="6153150"/>
          <a:ext cx="161925" cy="171450"/>
        </a:xfrm>
        <a:prstGeom prst="rect">
          <a:avLst/>
        </a:prstGeom>
      </xdr:spPr>
    </xdr:sp>
    <xdr:clientData/>
  </xdr:oneCellAnchor>
  <xdr:oneCellAnchor>
    <xdr:from>
      <xdr:col>2</xdr:col>
      <xdr:colOff>0</xdr:colOff>
      <xdr:row>16</xdr:row>
      <xdr:rowOff>76200</xdr:rowOff>
    </xdr:from>
    <xdr:ext cx="161925" cy="171450"/>
    <xdr:sp macro="" textlink="">
      <xdr:nvSpPr>
        <xdr:cNvPr id="165" name="CheckBox7" hidden="1">
          <a:extLst>
            <a:ext uri="{63B3BB69-23CF-44E3-9099-C40C66FF867C}">
              <a14:compatExt xmlns:a14="http://schemas.microsoft.com/office/drawing/2010/main" spid="_x0000_s24645"/>
            </a:ext>
            <a:ext uri="{FF2B5EF4-FFF2-40B4-BE49-F238E27FC236}">
              <a16:creationId xmlns:a16="http://schemas.microsoft.com/office/drawing/2014/main" id="{00000000-0008-0000-0200-0000A5000000}"/>
            </a:ext>
          </a:extLst>
        </xdr:cNvPr>
        <xdr:cNvSpPr/>
      </xdr:nvSpPr>
      <xdr:spPr>
        <a:xfrm>
          <a:off x="2847975" y="5010150"/>
          <a:ext cx="161925" cy="171450"/>
        </a:xfrm>
        <a:prstGeom prst="rect">
          <a:avLst/>
        </a:prstGeom>
      </xdr:spPr>
    </xdr:sp>
    <xdr:clientData/>
  </xdr:oneCellAnchor>
  <xdr:oneCellAnchor>
    <xdr:from>
      <xdr:col>2</xdr:col>
      <xdr:colOff>0</xdr:colOff>
      <xdr:row>16</xdr:row>
      <xdr:rowOff>66675</xdr:rowOff>
    </xdr:from>
    <xdr:ext cx="161925" cy="171450"/>
    <xdr:sp macro="" textlink="">
      <xdr:nvSpPr>
        <xdr:cNvPr id="166" name="CheckBox4" hidden="1">
          <a:extLst>
            <a:ext uri="{63B3BB69-23CF-44E3-9099-C40C66FF867C}">
              <a14:compatExt xmlns:a14="http://schemas.microsoft.com/office/drawing/2010/main" spid="_x0000_s24649"/>
            </a:ext>
            <a:ext uri="{FF2B5EF4-FFF2-40B4-BE49-F238E27FC236}">
              <a16:creationId xmlns:a16="http://schemas.microsoft.com/office/drawing/2014/main" id="{00000000-0008-0000-0200-0000A6000000}"/>
            </a:ext>
          </a:extLst>
        </xdr:cNvPr>
        <xdr:cNvSpPr/>
      </xdr:nvSpPr>
      <xdr:spPr>
        <a:xfrm>
          <a:off x="2847975" y="5000625"/>
          <a:ext cx="161925" cy="171450"/>
        </a:xfrm>
        <a:prstGeom prst="rect">
          <a:avLst/>
        </a:prstGeom>
      </xdr:spPr>
    </xdr:sp>
    <xdr:clientData/>
  </xdr:oneCellAnchor>
  <xdr:oneCellAnchor>
    <xdr:from>
      <xdr:col>2</xdr:col>
      <xdr:colOff>0</xdr:colOff>
      <xdr:row>16</xdr:row>
      <xdr:rowOff>76200</xdr:rowOff>
    </xdr:from>
    <xdr:ext cx="161925" cy="171450"/>
    <xdr:sp macro="" textlink="">
      <xdr:nvSpPr>
        <xdr:cNvPr id="167" name="CheckBox7" hidden="1">
          <a:extLst>
            <a:ext uri="{63B3BB69-23CF-44E3-9099-C40C66FF867C}">
              <a14:compatExt xmlns:a14="http://schemas.microsoft.com/office/drawing/2010/main" spid="_x0000_s24650"/>
            </a:ext>
            <a:ext uri="{FF2B5EF4-FFF2-40B4-BE49-F238E27FC236}">
              <a16:creationId xmlns:a16="http://schemas.microsoft.com/office/drawing/2014/main" id="{00000000-0008-0000-0200-0000A7000000}"/>
            </a:ext>
          </a:extLst>
        </xdr:cNvPr>
        <xdr:cNvSpPr/>
      </xdr:nvSpPr>
      <xdr:spPr>
        <a:xfrm>
          <a:off x="2847975" y="5010150"/>
          <a:ext cx="161925" cy="171450"/>
        </a:xfrm>
        <a:prstGeom prst="rect">
          <a:avLst/>
        </a:prstGeom>
      </xdr:spPr>
    </xdr:sp>
    <xdr:clientData/>
  </xdr:oneCellAnchor>
  <xdr:oneCellAnchor>
    <xdr:from>
      <xdr:col>2</xdr:col>
      <xdr:colOff>0</xdr:colOff>
      <xdr:row>17</xdr:row>
      <xdr:rowOff>76200</xdr:rowOff>
    </xdr:from>
    <xdr:ext cx="161925" cy="171450"/>
    <xdr:sp macro="" textlink="">
      <xdr:nvSpPr>
        <xdr:cNvPr id="168" name="CheckBox8" hidden="1">
          <a:extLst>
            <a:ext uri="{63B3BB69-23CF-44E3-9099-C40C66FF867C}">
              <a14:compatExt xmlns:a14="http://schemas.microsoft.com/office/drawing/2010/main" spid="_x0000_s24651"/>
            </a:ext>
            <a:ext uri="{FF2B5EF4-FFF2-40B4-BE49-F238E27FC236}">
              <a16:creationId xmlns:a16="http://schemas.microsoft.com/office/drawing/2014/main" id="{00000000-0008-0000-0200-0000A8000000}"/>
            </a:ext>
          </a:extLst>
        </xdr:cNvPr>
        <xdr:cNvSpPr/>
      </xdr:nvSpPr>
      <xdr:spPr>
        <a:xfrm>
          <a:off x="2847975" y="5295900"/>
          <a:ext cx="161925" cy="171450"/>
        </a:xfrm>
        <a:prstGeom prst="rect">
          <a:avLst/>
        </a:prstGeom>
      </xdr:spPr>
    </xdr:sp>
    <xdr:clientData/>
  </xdr:oneCellAnchor>
  <xdr:oneCellAnchor>
    <xdr:from>
      <xdr:col>2</xdr:col>
      <xdr:colOff>0</xdr:colOff>
      <xdr:row>18</xdr:row>
      <xdr:rowOff>76200</xdr:rowOff>
    </xdr:from>
    <xdr:ext cx="161925" cy="171450"/>
    <xdr:sp macro="" textlink="">
      <xdr:nvSpPr>
        <xdr:cNvPr id="169" name="CheckBox9" hidden="1">
          <a:extLst>
            <a:ext uri="{63B3BB69-23CF-44E3-9099-C40C66FF867C}">
              <a14:compatExt xmlns:a14="http://schemas.microsoft.com/office/drawing/2010/main" spid="_x0000_s24652"/>
            </a:ext>
            <a:ext uri="{FF2B5EF4-FFF2-40B4-BE49-F238E27FC236}">
              <a16:creationId xmlns:a16="http://schemas.microsoft.com/office/drawing/2014/main" id="{00000000-0008-0000-0200-0000A9000000}"/>
            </a:ext>
          </a:extLst>
        </xdr:cNvPr>
        <xdr:cNvSpPr/>
      </xdr:nvSpPr>
      <xdr:spPr>
        <a:xfrm>
          <a:off x="2847975" y="5581650"/>
          <a:ext cx="161925" cy="171450"/>
        </a:xfrm>
        <a:prstGeom prst="rect">
          <a:avLst/>
        </a:prstGeom>
      </xdr:spPr>
    </xdr:sp>
    <xdr:clientData/>
  </xdr:oneCellAnchor>
  <xdr:oneCellAnchor>
    <xdr:from>
      <xdr:col>2</xdr:col>
      <xdr:colOff>0</xdr:colOff>
      <xdr:row>16</xdr:row>
      <xdr:rowOff>66675</xdr:rowOff>
    </xdr:from>
    <xdr:ext cx="161925" cy="171450"/>
    <xdr:sp macro="" textlink="">
      <xdr:nvSpPr>
        <xdr:cNvPr id="170" name="CheckBox4" hidden="1">
          <a:extLst>
            <a:ext uri="{63B3BB69-23CF-44E3-9099-C40C66FF867C}">
              <a14:compatExt xmlns:a14="http://schemas.microsoft.com/office/drawing/2010/main" spid="_x0000_s24653"/>
            </a:ext>
            <a:ext uri="{FF2B5EF4-FFF2-40B4-BE49-F238E27FC236}">
              <a16:creationId xmlns:a16="http://schemas.microsoft.com/office/drawing/2014/main" id="{00000000-0008-0000-0200-0000AA000000}"/>
            </a:ext>
          </a:extLst>
        </xdr:cNvPr>
        <xdr:cNvSpPr/>
      </xdr:nvSpPr>
      <xdr:spPr>
        <a:xfrm>
          <a:off x="2847975" y="5000625"/>
          <a:ext cx="161925" cy="171450"/>
        </a:xfrm>
        <a:prstGeom prst="rect">
          <a:avLst/>
        </a:prstGeom>
      </xdr:spPr>
    </xdr:sp>
    <xdr:clientData/>
  </xdr:oneCellAnchor>
  <xdr:oneCellAnchor>
    <xdr:from>
      <xdr:col>2</xdr:col>
      <xdr:colOff>0</xdr:colOff>
      <xdr:row>17</xdr:row>
      <xdr:rowOff>66675</xdr:rowOff>
    </xdr:from>
    <xdr:ext cx="161925" cy="171450"/>
    <xdr:sp macro="" textlink="">
      <xdr:nvSpPr>
        <xdr:cNvPr id="171" name="CheckBox5" hidden="1">
          <a:extLst>
            <a:ext uri="{63B3BB69-23CF-44E3-9099-C40C66FF867C}">
              <a14:compatExt xmlns:a14="http://schemas.microsoft.com/office/drawing/2010/main" spid="_x0000_s24654"/>
            </a:ext>
            <a:ext uri="{FF2B5EF4-FFF2-40B4-BE49-F238E27FC236}">
              <a16:creationId xmlns:a16="http://schemas.microsoft.com/office/drawing/2014/main" id="{00000000-0008-0000-0200-0000AB000000}"/>
            </a:ext>
          </a:extLst>
        </xdr:cNvPr>
        <xdr:cNvSpPr/>
      </xdr:nvSpPr>
      <xdr:spPr>
        <a:xfrm>
          <a:off x="2847975" y="5286375"/>
          <a:ext cx="161925" cy="171450"/>
        </a:xfrm>
        <a:prstGeom prst="rect">
          <a:avLst/>
        </a:prstGeom>
      </xdr:spPr>
    </xdr:sp>
    <xdr:clientData/>
  </xdr:oneCellAnchor>
  <xdr:oneCellAnchor>
    <xdr:from>
      <xdr:col>2</xdr:col>
      <xdr:colOff>0</xdr:colOff>
      <xdr:row>18</xdr:row>
      <xdr:rowOff>76200</xdr:rowOff>
    </xdr:from>
    <xdr:ext cx="161925" cy="171450"/>
    <xdr:sp macro="" textlink="">
      <xdr:nvSpPr>
        <xdr:cNvPr id="172" name="CheckBox6" hidden="1">
          <a:extLst>
            <a:ext uri="{63B3BB69-23CF-44E3-9099-C40C66FF867C}">
              <a14:compatExt xmlns:a14="http://schemas.microsoft.com/office/drawing/2010/main" spid="_x0000_s24655"/>
            </a:ext>
            <a:ext uri="{FF2B5EF4-FFF2-40B4-BE49-F238E27FC236}">
              <a16:creationId xmlns:a16="http://schemas.microsoft.com/office/drawing/2014/main" id="{00000000-0008-0000-0200-0000AC000000}"/>
            </a:ext>
          </a:extLst>
        </xdr:cNvPr>
        <xdr:cNvSpPr/>
      </xdr:nvSpPr>
      <xdr:spPr>
        <a:xfrm>
          <a:off x="2847975" y="5581650"/>
          <a:ext cx="161925" cy="171450"/>
        </a:xfrm>
        <a:prstGeom prst="rect">
          <a:avLst/>
        </a:prstGeom>
      </xdr:spPr>
    </xdr:sp>
    <xdr:clientData/>
  </xdr:oneCellAnchor>
  <xdr:oneCellAnchor>
    <xdr:from>
      <xdr:col>2</xdr:col>
      <xdr:colOff>76200</xdr:colOff>
      <xdr:row>16</xdr:row>
      <xdr:rowOff>76200</xdr:rowOff>
    </xdr:from>
    <xdr:ext cx="161925" cy="171450"/>
    <xdr:sp macro="" textlink="">
      <xdr:nvSpPr>
        <xdr:cNvPr id="173" name="CheckBox7" hidden="1">
          <a:extLst>
            <a:ext uri="{63B3BB69-23CF-44E3-9099-C40C66FF867C}">
              <a14:compatExt xmlns:a14="http://schemas.microsoft.com/office/drawing/2010/main" spid="_x0000_s24621"/>
            </a:ext>
            <a:ext uri="{FF2B5EF4-FFF2-40B4-BE49-F238E27FC236}">
              <a16:creationId xmlns:a16="http://schemas.microsoft.com/office/drawing/2014/main" id="{00000000-0008-0000-0200-0000AD000000}"/>
            </a:ext>
          </a:extLst>
        </xdr:cNvPr>
        <xdr:cNvSpPr/>
      </xdr:nvSpPr>
      <xdr:spPr>
        <a:xfrm>
          <a:off x="2924175" y="5010150"/>
          <a:ext cx="161925" cy="171450"/>
        </a:xfrm>
        <a:prstGeom prst="rect">
          <a:avLst/>
        </a:prstGeom>
      </xdr:spPr>
    </xdr:sp>
    <xdr:clientData/>
  </xdr:oneCellAnchor>
  <xdr:oneCellAnchor>
    <xdr:from>
      <xdr:col>2</xdr:col>
      <xdr:colOff>76200</xdr:colOff>
      <xdr:row>17</xdr:row>
      <xdr:rowOff>76200</xdr:rowOff>
    </xdr:from>
    <xdr:ext cx="161925" cy="171450"/>
    <xdr:sp macro="" textlink="">
      <xdr:nvSpPr>
        <xdr:cNvPr id="174" name="CheckBox8" hidden="1">
          <a:extLst>
            <a:ext uri="{63B3BB69-23CF-44E3-9099-C40C66FF867C}">
              <a14:compatExt xmlns:a14="http://schemas.microsoft.com/office/drawing/2010/main" spid="_x0000_s24622"/>
            </a:ext>
            <a:ext uri="{FF2B5EF4-FFF2-40B4-BE49-F238E27FC236}">
              <a16:creationId xmlns:a16="http://schemas.microsoft.com/office/drawing/2014/main" id="{00000000-0008-0000-0200-0000AE000000}"/>
            </a:ext>
          </a:extLst>
        </xdr:cNvPr>
        <xdr:cNvSpPr/>
      </xdr:nvSpPr>
      <xdr:spPr>
        <a:xfrm>
          <a:off x="2924175" y="5295900"/>
          <a:ext cx="161925" cy="171450"/>
        </a:xfrm>
        <a:prstGeom prst="rect">
          <a:avLst/>
        </a:prstGeom>
      </xdr:spPr>
    </xdr:sp>
    <xdr:clientData/>
  </xdr:oneCellAnchor>
  <xdr:oneCellAnchor>
    <xdr:from>
      <xdr:col>2</xdr:col>
      <xdr:colOff>76200</xdr:colOff>
      <xdr:row>18</xdr:row>
      <xdr:rowOff>76200</xdr:rowOff>
    </xdr:from>
    <xdr:ext cx="161925" cy="171450"/>
    <xdr:sp macro="" textlink="">
      <xdr:nvSpPr>
        <xdr:cNvPr id="175" name="CheckBox9" hidden="1">
          <a:extLst>
            <a:ext uri="{63B3BB69-23CF-44E3-9099-C40C66FF867C}">
              <a14:compatExt xmlns:a14="http://schemas.microsoft.com/office/drawing/2010/main" spid="_x0000_s24623"/>
            </a:ext>
            <a:ext uri="{FF2B5EF4-FFF2-40B4-BE49-F238E27FC236}">
              <a16:creationId xmlns:a16="http://schemas.microsoft.com/office/drawing/2014/main" id="{00000000-0008-0000-0200-0000AF000000}"/>
            </a:ext>
          </a:extLst>
        </xdr:cNvPr>
        <xdr:cNvSpPr/>
      </xdr:nvSpPr>
      <xdr:spPr>
        <a:xfrm>
          <a:off x="2924175" y="5581650"/>
          <a:ext cx="161925" cy="171450"/>
        </a:xfrm>
        <a:prstGeom prst="rect">
          <a:avLst/>
        </a:prstGeom>
      </xdr:spPr>
    </xdr:sp>
    <xdr:clientData/>
  </xdr:oneCellAnchor>
  <xdr:oneCellAnchor>
    <xdr:from>
      <xdr:col>2</xdr:col>
      <xdr:colOff>76200</xdr:colOff>
      <xdr:row>19</xdr:row>
      <xdr:rowOff>76200</xdr:rowOff>
    </xdr:from>
    <xdr:ext cx="161925" cy="171450"/>
    <xdr:sp macro="" textlink="">
      <xdr:nvSpPr>
        <xdr:cNvPr id="176" name="CheckBox10" hidden="1">
          <a:extLst>
            <a:ext uri="{63B3BB69-23CF-44E3-9099-C40C66FF867C}">
              <a14:compatExt xmlns:a14="http://schemas.microsoft.com/office/drawing/2010/main" spid="_x0000_s24624"/>
            </a:ext>
            <a:ext uri="{FF2B5EF4-FFF2-40B4-BE49-F238E27FC236}">
              <a16:creationId xmlns:a16="http://schemas.microsoft.com/office/drawing/2014/main" id="{00000000-0008-0000-0200-0000B0000000}"/>
            </a:ext>
          </a:extLst>
        </xdr:cNvPr>
        <xdr:cNvSpPr/>
      </xdr:nvSpPr>
      <xdr:spPr>
        <a:xfrm>
          <a:off x="2924175" y="5867400"/>
          <a:ext cx="161925" cy="171450"/>
        </a:xfrm>
        <a:prstGeom prst="rect">
          <a:avLst/>
        </a:prstGeom>
      </xdr:spPr>
    </xdr:sp>
    <xdr:clientData/>
  </xdr:oneCellAnchor>
  <xdr:oneCellAnchor>
    <xdr:from>
      <xdr:col>2</xdr:col>
      <xdr:colOff>85725</xdr:colOff>
      <xdr:row>16</xdr:row>
      <xdr:rowOff>66675</xdr:rowOff>
    </xdr:from>
    <xdr:ext cx="161925" cy="171450"/>
    <xdr:sp macro="" textlink="">
      <xdr:nvSpPr>
        <xdr:cNvPr id="177" name="CheckBox4" hidden="1">
          <a:extLst>
            <a:ext uri="{63B3BB69-23CF-44E3-9099-C40C66FF867C}">
              <a14:compatExt xmlns:a14="http://schemas.microsoft.com/office/drawing/2010/main" spid="_x0000_s24630"/>
            </a:ext>
            <a:ext uri="{FF2B5EF4-FFF2-40B4-BE49-F238E27FC236}">
              <a16:creationId xmlns:a16="http://schemas.microsoft.com/office/drawing/2014/main" id="{00000000-0008-0000-0200-0000B1000000}"/>
            </a:ext>
          </a:extLst>
        </xdr:cNvPr>
        <xdr:cNvSpPr/>
      </xdr:nvSpPr>
      <xdr:spPr>
        <a:xfrm>
          <a:off x="2933700" y="5000625"/>
          <a:ext cx="161925" cy="171450"/>
        </a:xfrm>
        <a:prstGeom prst="rect">
          <a:avLst/>
        </a:prstGeom>
      </xdr:spPr>
    </xdr:sp>
    <xdr:clientData/>
  </xdr:oneCellAnchor>
  <xdr:oneCellAnchor>
    <xdr:from>
      <xdr:col>2</xdr:col>
      <xdr:colOff>85725</xdr:colOff>
      <xdr:row>17</xdr:row>
      <xdr:rowOff>66675</xdr:rowOff>
    </xdr:from>
    <xdr:ext cx="161925" cy="171450"/>
    <xdr:sp macro="" textlink="">
      <xdr:nvSpPr>
        <xdr:cNvPr id="178" name="CheckBox5" hidden="1">
          <a:extLst>
            <a:ext uri="{63B3BB69-23CF-44E3-9099-C40C66FF867C}">
              <a14:compatExt xmlns:a14="http://schemas.microsoft.com/office/drawing/2010/main" spid="_x0000_s24631"/>
            </a:ext>
            <a:ext uri="{FF2B5EF4-FFF2-40B4-BE49-F238E27FC236}">
              <a16:creationId xmlns:a16="http://schemas.microsoft.com/office/drawing/2014/main" id="{00000000-0008-0000-0200-0000B2000000}"/>
            </a:ext>
          </a:extLst>
        </xdr:cNvPr>
        <xdr:cNvSpPr/>
      </xdr:nvSpPr>
      <xdr:spPr>
        <a:xfrm>
          <a:off x="2933700" y="5286375"/>
          <a:ext cx="161925" cy="171450"/>
        </a:xfrm>
        <a:prstGeom prst="rect">
          <a:avLst/>
        </a:prstGeom>
      </xdr:spPr>
    </xdr:sp>
    <xdr:clientData/>
  </xdr:oneCellAnchor>
  <xdr:oneCellAnchor>
    <xdr:from>
      <xdr:col>2</xdr:col>
      <xdr:colOff>85725</xdr:colOff>
      <xdr:row>18</xdr:row>
      <xdr:rowOff>76200</xdr:rowOff>
    </xdr:from>
    <xdr:ext cx="161925" cy="171450"/>
    <xdr:sp macro="" textlink="">
      <xdr:nvSpPr>
        <xdr:cNvPr id="179" name="CheckBox6" hidden="1">
          <a:extLst>
            <a:ext uri="{63B3BB69-23CF-44E3-9099-C40C66FF867C}">
              <a14:compatExt xmlns:a14="http://schemas.microsoft.com/office/drawing/2010/main" spid="_x0000_s24632"/>
            </a:ext>
            <a:ext uri="{FF2B5EF4-FFF2-40B4-BE49-F238E27FC236}">
              <a16:creationId xmlns:a16="http://schemas.microsoft.com/office/drawing/2014/main" id="{00000000-0008-0000-0200-0000B3000000}"/>
            </a:ext>
          </a:extLst>
        </xdr:cNvPr>
        <xdr:cNvSpPr/>
      </xdr:nvSpPr>
      <xdr:spPr>
        <a:xfrm>
          <a:off x="2933700" y="5581650"/>
          <a:ext cx="161925" cy="171450"/>
        </a:xfrm>
        <a:prstGeom prst="rect">
          <a:avLst/>
        </a:prstGeom>
      </xdr:spPr>
    </xdr:sp>
    <xdr:clientData/>
  </xdr:oneCellAnchor>
  <xdr:oneCellAnchor>
    <xdr:from>
      <xdr:col>2</xdr:col>
      <xdr:colOff>66675</xdr:colOff>
      <xdr:row>20</xdr:row>
      <xdr:rowOff>76200</xdr:rowOff>
    </xdr:from>
    <xdr:ext cx="161925" cy="171450"/>
    <xdr:sp macro="" textlink="">
      <xdr:nvSpPr>
        <xdr:cNvPr id="180" name="CheckBox2" hidden="1">
          <a:extLst>
            <a:ext uri="{63B3BB69-23CF-44E3-9099-C40C66FF867C}">
              <a14:compatExt xmlns:a14="http://schemas.microsoft.com/office/drawing/2010/main" spid="_x0000_s24634"/>
            </a:ext>
            <a:ext uri="{FF2B5EF4-FFF2-40B4-BE49-F238E27FC236}">
              <a16:creationId xmlns:a16="http://schemas.microsoft.com/office/drawing/2014/main" id="{00000000-0008-0000-0200-0000B4000000}"/>
            </a:ext>
          </a:extLst>
        </xdr:cNvPr>
        <xdr:cNvSpPr/>
      </xdr:nvSpPr>
      <xdr:spPr>
        <a:xfrm>
          <a:off x="2914650" y="6153150"/>
          <a:ext cx="161925" cy="171450"/>
        </a:xfrm>
        <a:prstGeom prst="rect">
          <a:avLst/>
        </a:prstGeom>
      </xdr:spPr>
    </xdr:sp>
    <xdr:clientData/>
  </xdr:oneCellAnchor>
  <xdr:oneCellAnchor>
    <xdr:from>
      <xdr:col>2</xdr:col>
      <xdr:colOff>76200</xdr:colOff>
      <xdr:row>16</xdr:row>
      <xdr:rowOff>76200</xdr:rowOff>
    </xdr:from>
    <xdr:ext cx="161925" cy="171450"/>
    <xdr:sp macro="" textlink="">
      <xdr:nvSpPr>
        <xdr:cNvPr id="181" name="CheckBox7" hidden="1">
          <a:extLst>
            <a:ext uri="{63B3BB69-23CF-44E3-9099-C40C66FF867C}">
              <a14:compatExt xmlns:a14="http://schemas.microsoft.com/office/drawing/2010/main" spid="_x0000_s24645"/>
            </a:ext>
            <a:ext uri="{FF2B5EF4-FFF2-40B4-BE49-F238E27FC236}">
              <a16:creationId xmlns:a16="http://schemas.microsoft.com/office/drawing/2014/main" id="{00000000-0008-0000-0200-0000B5000000}"/>
            </a:ext>
          </a:extLst>
        </xdr:cNvPr>
        <xdr:cNvSpPr/>
      </xdr:nvSpPr>
      <xdr:spPr>
        <a:xfrm>
          <a:off x="2924175" y="5010150"/>
          <a:ext cx="161925" cy="171450"/>
        </a:xfrm>
        <a:prstGeom prst="rect">
          <a:avLst/>
        </a:prstGeom>
      </xdr:spPr>
    </xdr:sp>
    <xdr:clientData/>
  </xdr:oneCellAnchor>
  <xdr:oneCellAnchor>
    <xdr:from>
      <xdr:col>2</xdr:col>
      <xdr:colOff>85725</xdr:colOff>
      <xdr:row>16</xdr:row>
      <xdr:rowOff>66675</xdr:rowOff>
    </xdr:from>
    <xdr:ext cx="161925" cy="171450"/>
    <xdr:sp macro="" textlink="">
      <xdr:nvSpPr>
        <xdr:cNvPr id="182" name="CheckBox4" hidden="1">
          <a:extLst>
            <a:ext uri="{63B3BB69-23CF-44E3-9099-C40C66FF867C}">
              <a14:compatExt xmlns:a14="http://schemas.microsoft.com/office/drawing/2010/main" spid="_x0000_s24649"/>
            </a:ext>
            <a:ext uri="{FF2B5EF4-FFF2-40B4-BE49-F238E27FC236}">
              <a16:creationId xmlns:a16="http://schemas.microsoft.com/office/drawing/2014/main" id="{00000000-0008-0000-0200-0000B6000000}"/>
            </a:ext>
          </a:extLst>
        </xdr:cNvPr>
        <xdr:cNvSpPr/>
      </xdr:nvSpPr>
      <xdr:spPr>
        <a:xfrm>
          <a:off x="2933700" y="5000625"/>
          <a:ext cx="161925" cy="171450"/>
        </a:xfrm>
        <a:prstGeom prst="rect">
          <a:avLst/>
        </a:prstGeom>
      </xdr:spPr>
    </xdr:sp>
    <xdr:clientData/>
  </xdr:oneCellAnchor>
  <xdr:oneCellAnchor>
    <xdr:from>
      <xdr:col>2</xdr:col>
      <xdr:colOff>76200</xdr:colOff>
      <xdr:row>16</xdr:row>
      <xdr:rowOff>76200</xdr:rowOff>
    </xdr:from>
    <xdr:ext cx="161925" cy="171450"/>
    <xdr:sp macro="" textlink="">
      <xdr:nvSpPr>
        <xdr:cNvPr id="183" name="CheckBox7" hidden="1">
          <a:extLst>
            <a:ext uri="{63B3BB69-23CF-44E3-9099-C40C66FF867C}">
              <a14:compatExt xmlns:a14="http://schemas.microsoft.com/office/drawing/2010/main" spid="_x0000_s24650"/>
            </a:ext>
            <a:ext uri="{FF2B5EF4-FFF2-40B4-BE49-F238E27FC236}">
              <a16:creationId xmlns:a16="http://schemas.microsoft.com/office/drawing/2014/main" id="{00000000-0008-0000-0200-0000B7000000}"/>
            </a:ext>
          </a:extLst>
        </xdr:cNvPr>
        <xdr:cNvSpPr/>
      </xdr:nvSpPr>
      <xdr:spPr>
        <a:xfrm>
          <a:off x="2924175" y="5010150"/>
          <a:ext cx="161925" cy="171450"/>
        </a:xfrm>
        <a:prstGeom prst="rect">
          <a:avLst/>
        </a:prstGeom>
      </xdr:spPr>
    </xdr:sp>
    <xdr:clientData/>
  </xdr:oneCellAnchor>
  <xdr:oneCellAnchor>
    <xdr:from>
      <xdr:col>2</xdr:col>
      <xdr:colOff>76200</xdr:colOff>
      <xdr:row>17</xdr:row>
      <xdr:rowOff>76200</xdr:rowOff>
    </xdr:from>
    <xdr:ext cx="161925" cy="171450"/>
    <xdr:sp macro="" textlink="">
      <xdr:nvSpPr>
        <xdr:cNvPr id="184" name="CheckBox8" hidden="1">
          <a:extLst>
            <a:ext uri="{63B3BB69-23CF-44E3-9099-C40C66FF867C}">
              <a14:compatExt xmlns:a14="http://schemas.microsoft.com/office/drawing/2010/main" spid="_x0000_s24651"/>
            </a:ext>
            <a:ext uri="{FF2B5EF4-FFF2-40B4-BE49-F238E27FC236}">
              <a16:creationId xmlns:a16="http://schemas.microsoft.com/office/drawing/2014/main" id="{00000000-0008-0000-0200-0000B8000000}"/>
            </a:ext>
          </a:extLst>
        </xdr:cNvPr>
        <xdr:cNvSpPr/>
      </xdr:nvSpPr>
      <xdr:spPr>
        <a:xfrm>
          <a:off x="2924175" y="5295900"/>
          <a:ext cx="161925" cy="171450"/>
        </a:xfrm>
        <a:prstGeom prst="rect">
          <a:avLst/>
        </a:prstGeom>
      </xdr:spPr>
    </xdr:sp>
    <xdr:clientData/>
  </xdr:oneCellAnchor>
  <xdr:oneCellAnchor>
    <xdr:from>
      <xdr:col>2</xdr:col>
      <xdr:colOff>76200</xdr:colOff>
      <xdr:row>18</xdr:row>
      <xdr:rowOff>76200</xdr:rowOff>
    </xdr:from>
    <xdr:ext cx="161925" cy="171450"/>
    <xdr:sp macro="" textlink="">
      <xdr:nvSpPr>
        <xdr:cNvPr id="185" name="CheckBox9" hidden="1">
          <a:extLst>
            <a:ext uri="{63B3BB69-23CF-44E3-9099-C40C66FF867C}">
              <a14:compatExt xmlns:a14="http://schemas.microsoft.com/office/drawing/2010/main" spid="_x0000_s24652"/>
            </a:ext>
            <a:ext uri="{FF2B5EF4-FFF2-40B4-BE49-F238E27FC236}">
              <a16:creationId xmlns:a16="http://schemas.microsoft.com/office/drawing/2014/main" id="{00000000-0008-0000-0200-0000B9000000}"/>
            </a:ext>
          </a:extLst>
        </xdr:cNvPr>
        <xdr:cNvSpPr/>
      </xdr:nvSpPr>
      <xdr:spPr>
        <a:xfrm>
          <a:off x="2924175" y="5581650"/>
          <a:ext cx="161925" cy="171450"/>
        </a:xfrm>
        <a:prstGeom prst="rect">
          <a:avLst/>
        </a:prstGeom>
      </xdr:spPr>
    </xdr:sp>
    <xdr:clientData/>
  </xdr:oneCellAnchor>
  <xdr:oneCellAnchor>
    <xdr:from>
      <xdr:col>2</xdr:col>
      <xdr:colOff>85725</xdr:colOff>
      <xdr:row>16</xdr:row>
      <xdr:rowOff>66675</xdr:rowOff>
    </xdr:from>
    <xdr:ext cx="161925" cy="171450"/>
    <xdr:sp macro="" textlink="">
      <xdr:nvSpPr>
        <xdr:cNvPr id="186" name="CheckBox4" hidden="1">
          <a:extLst>
            <a:ext uri="{63B3BB69-23CF-44E3-9099-C40C66FF867C}">
              <a14:compatExt xmlns:a14="http://schemas.microsoft.com/office/drawing/2010/main" spid="_x0000_s24653"/>
            </a:ext>
            <a:ext uri="{FF2B5EF4-FFF2-40B4-BE49-F238E27FC236}">
              <a16:creationId xmlns:a16="http://schemas.microsoft.com/office/drawing/2014/main" id="{00000000-0008-0000-0200-0000BA000000}"/>
            </a:ext>
          </a:extLst>
        </xdr:cNvPr>
        <xdr:cNvSpPr/>
      </xdr:nvSpPr>
      <xdr:spPr>
        <a:xfrm>
          <a:off x="2933700" y="5000625"/>
          <a:ext cx="161925" cy="171450"/>
        </a:xfrm>
        <a:prstGeom prst="rect">
          <a:avLst/>
        </a:prstGeom>
      </xdr:spPr>
    </xdr:sp>
    <xdr:clientData/>
  </xdr:oneCellAnchor>
  <xdr:oneCellAnchor>
    <xdr:from>
      <xdr:col>2</xdr:col>
      <xdr:colOff>85725</xdr:colOff>
      <xdr:row>17</xdr:row>
      <xdr:rowOff>66675</xdr:rowOff>
    </xdr:from>
    <xdr:ext cx="161925" cy="171450"/>
    <xdr:sp macro="" textlink="">
      <xdr:nvSpPr>
        <xdr:cNvPr id="187" name="CheckBox5" hidden="1">
          <a:extLst>
            <a:ext uri="{63B3BB69-23CF-44E3-9099-C40C66FF867C}">
              <a14:compatExt xmlns:a14="http://schemas.microsoft.com/office/drawing/2010/main" spid="_x0000_s24654"/>
            </a:ext>
            <a:ext uri="{FF2B5EF4-FFF2-40B4-BE49-F238E27FC236}">
              <a16:creationId xmlns:a16="http://schemas.microsoft.com/office/drawing/2014/main" id="{00000000-0008-0000-0200-0000BB000000}"/>
            </a:ext>
          </a:extLst>
        </xdr:cNvPr>
        <xdr:cNvSpPr/>
      </xdr:nvSpPr>
      <xdr:spPr>
        <a:xfrm>
          <a:off x="2933700" y="5286375"/>
          <a:ext cx="161925" cy="171450"/>
        </a:xfrm>
        <a:prstGeom prst="rect">
          <a:avLst/>
        </a:prstGeom>
      </xdr:spPr>
    </xdr:sp>
    <xdr:clientData/>
  </xdr:oneCellAnchor>
  <xdr:oneCellAnchor>
    <xdr:from>
      <xdr:col>2</xdr:col>
      <xdr:colOff>85725</xdr:colOff>
      <xdr:row>18</xdr:row>
      <xdr:rowOff>76200</xdr:rowOff>
    </xdr:from>
    <xdr:ext cx="161925" cy="171450"/>
    <xdr:sp macro="" textlink="">
      <xdr:nvSpPr>
        <xdr:cNvPr id="188" name="CheckBox6" hidden="1">
          <a:extLst>
            <a:ext uri="{63B3BB69-23CF-44E3-9099-C40C66FF867C}">
              <a14:compatExt xmlns:a14="http://schemas.microsoft.com/office/drawing/2010/main" spid="_x0000_s24655"/>
            </a:ext>
            <a:ext uri="{FF2B5EF4-FFF2-40B4-BE49-F238E27FC236}">
              <a16:creationId xmlns:a16="http://schemas.microsoft.com/office/drawing/2014/main" id="{00000000-0008-0000-0200-0000BC000000}"/>
            </a:ext>
          </a:extLst>
        </xdr:cNvPr>
        <xdr:cNvSpPr/>
      </xdr:nvSpPr>
      <xdr:spPr>
        <a:xfrm>
          <a:off x="2933700" y="5581650"/>
          <a:ext cx="161925" cy="171450"/>
        </a:xfrm>
        <a:prstGeom prst="rect">
          <a:avLst/>
        </a:prstGeom>
      </xdr:spPr>
    </xdr:sp>
    <xdr:clientData/>
  </xdr:oneCellAnchor>
  <xdr:oneCellAnchor>
    <xdr:from>
      <xdr:col>2</xdr:col>
      <xdr:colOff>85725</xdr:colOff>
      <xdr:row>15</xdr:row>
      <xdr:rowOff>66675</xdr:rowOff>
    </xdr:from>
    <xdr:ext cx="161925" cy="171450"/>
    <xdr:sp macro="" textlink="">
      <xdr:nvSpPr>
        <xdr:cNvPr id="195" name="CheckBox4" hidden="1">
          <a:extLst>
            <a:ext uri="{63B3BB69-23CF-44E3-9099-C40C66FF867C}">
              <a14:compatExt xmlns:a14="http://schemas.microsoft.com/office/drawing/2010/main" spid="_x0000_s24606"/>
            </a:ext>
            <a:ext uri="{FF2B5EF4-FFF2-40B4-BE49-F238E27FC236}">
              <a16:creationId xmlns:a16="http://schemas.microsoft.com/office/drawing/2014/main" id="{00000000-0008-0000-0200-0000C3000000}"/>
            </a:ext>
          </a:extLst>
        </xdr:cNvPr>
        <xdr:cNvSpPr/>
      </xdr:nvSpPr>
      <xdr:spPr>
        <a:xfrm>
          <a:off x="85725" y="5000625"/>
          <a:ext cx="161925" cy="171450"/>
        </a:xfrm>
        <a:prstGeom prst="rect">
          <a:avLst/>
        </a:prstGeom>
      </xdr:spPr>
    </xdr:sp>
    <xdr:clientData/>
  </xdr:oneCellAnchor>
  <xdr:oneCellAnchor>
    <xdr:from>
      <xdr:col>2</xdr:col>
      <xdr:colOff>85725</xdr:colOff>
      <xdr:row>15</xdr:row>
      <xdr:rowOff>66675</xdr:rowOff>
    </xdr:from>
    <xdr:ext cx="161925" cy="171450"/>
    <xdr:sp macro="" textlink="">
      <xdr:nvSpPr>
        <xdr:cNvPr id="197" name="CheckBox4" hidden="1">
          <a:extLst>
            <a:ext uri="{63B3BB69-23CF-44E3-9099-C40C66FF867C}">
              <a14:compatExt xmlns:a14="http://schemas.microsoft.com/office/drawing/2010/main" spid="_x0000_s24606"/>
            </a:ext>
            <a:ext uri="{FF2B5EF4-FFF2-40B4-BE49-F238E27FC236}">
              <a16:creationId xmlns:a16="http://schemas.microsoft.com/office/drawing/2014/main" id="{00000000-0008-0000-0200-0000C5000000}"/>
            </a:ext>
          </a:extLst>
        </xdr:cNvPr>
        <xdr:cNvSpPr/>
      </xdr:nvSpPr>
      <xdr:spPr>
        <a:xfrm>
          <a:off x="85725" y="5000625"/>
          <a:ext cx="161925" cy="171450"/>
        </a:xfrm>
        <a:prstGeom prst="rect">
          <a:avLst/>
        </a:prstGeom>
      </xdr:spPr>
    </xdr:sp>
    <xdr:clientData/>
  </xdr:oneCellAnchor>
  <xdr:oneCellAnchor>
    <xdr:from>
      <xdr:col>1</xdr:col>
      <xdr:colOff>85725</xdr:colOff>
      <xdr:row>15</xdr:row>
      <xdr:rowOff>66675</xdr:rowOff>
    </xdr:from>
    <xdr:ext cx="161925" cy="171450"/>
    <xdr:sp macro="" textlink="">
      <xdr:nvSpPr>
        <xdr:cNvPr id="203" name="CheckBox3" hidden="1">
          <a:extLst>
            <a:ext uri="{63B3BB69-23CF-44E3-9099-C40C66FF867C}">
              <a14:compatExt xmlns:a14="http://schemas.microsoft.com/office/drawing/2010/main" spid="_x0000_s24605"/>
            </a:ext>
            <a:ext uri="{FF2B5EF4-FFF2-40B4-BE49-F238E27FC236}">
              <a16:creationId xmlns:a16="http://schemas.microsoft.com/office/drawing/2014/main" id="{00000000-0008-0000-0200-0000CB000000}"/>
            </a:ext>
          </a:extLst>
        </xdr:cNvPr>
        <xdr:cNvSpPr/>
      </xdr:nvSpPr>
      <xdr:spPr>
        <a:xfrm>
          <a:off x="85725" y="4714875"/>
          <a:ext cx="161925" cy="171450"/>
        </a:xfrm>
        <a:prstGeom prst="rect">
          <a:avLst/>
        </a:prstGeom>
      </xdr:spPr>
    </xdr:sp>
    <xdr:clientData/>
  </xdr:oneCellAnchor>
  <xdr:oneCellAnchor>
    <xdr:from>
      <xdr:col>1</xdr:col>
      <xdr:colOff>85725</xdr:colOff>
      <xdr:row>16</xdr:row>
      <xdr:rowOff>66675</xdr:rowOff>
    </xdr:from>
    <xdr:ext cx="161925" cy="171450"/>
    <xdr:sp macro="" textlink="">
      <xdr:nvSpPr>
        <xdr:cNvPr id="204" name="CheckBox4" hidden="1">
          <a:extLst>
            <a:ext uri="{63B3BB69-23CF-44E3-9099-C40C66FF867C}">
              <a14:compatExt xmlns:a14="http://schemas.microsoft.com/office/drawing/2010/main" spid="_x0000_s24606"/>
            </a:ext>
            <a:ext uri="{FF2B5EF4-FFF2-40B4-BE49-F238E27FC236}">
              <a16:creationId xmlns:a16="http://schemas.microsoft.com/office/drawing/2014/main" id="{00000000-0008-0000-0200-0000CC000000}"/>
            </a:ext>
          </a:extLst>
        </xdr:cNvPr>
        <xdr:cNvSpPr/>
      </xdr:nvSpPr>
      <xdr:spPr>
        <a:xfrm>
          <a:off x="85725" y="5000625"/>
          <a:ext cx="161925" cy="171450"/>
        </a:xfrm>
        <a:prstGeom prst="rect">
          <a:avLst/>
        </a:prstGeom>
      </xdr:spPr>
    </xdr:sp>
    <xdr:clientData/>
  </xdr:oneCellAnchor>
  <xdr:oneCellAnchor>
    <xdr:from>
      <xdr:col>1</xdr:col>
      <xdr:colOff>85725</xdr:colOff>
      <xdr:row>17</xdr:row>
      <xdr:rowOff>66675</xdr:rowOff>
    </xdr:from>
    <xdr:ext cx="161925" cy="171450"/>
    <xdr:sp macro="" textlink="">
      <xdr:nvSpPr>
        <xdr:cNvPr id="205" name="CheckBox5" hidden="1">
          <a:extLst>
            <a:ext uri="{63B3BB69-23CF-44E3-9099-C40C66FF867C}">
              <a14:compatExt xmlns:a14="http://schemas.microsoft.com/office/drawing/2010/main" spid="_x0000_s24607"/>
            </a:ext>
            <a:ext uri="{FF2B5EF4-FFF2-40B4-BE49-F238E27FC236}">
              <a16:creationId xmlns:a16="http://schemas.microsoft.com/office/drawing/2014/main" id="{00000000-0008-0000-0200-0000CD000000}"/>
            </a:ext>
          </a:extLst>
        </xdr:cNvPr>
        <xdr:cNvSpPr/>
      </xdr:nvSpPr>
      <xdr:spPr>
        <a:xfrm>
          <a:off x="85725" y="5286375"/>
          <a:ext cx="161925" cy="171450"/>
        </a:xfrm>
        <a:prstGeom prst="rect">
          <a:avLst/>
        </a:prstGeom>
      </xdr:spPr>
    </xdr:sp>
    <xdr:clientData/>
  </xdr:oneCellAnchor>
  <xdr:oneCellAnchor>
    <xdr:from>
      <xdr:col>1</xdr:col>
      <xdr:colOff>76200</xdr:colOff>
      <xdr:row>20</xdr:row>
      <xdr:rowOff>66675</xdr:rowOff>
    </xdr:from>
    <xdr:ext cx="161925" cy="171450"/>
    <xdr:sp macro="" textlink="">
      <xdr:nvSpPr>
        <xdr:cNvPr id="206" name="CheckBox2" hidden="1">
          <a:extLst>
            <a:ext uri="{63B3BB69-23CF-44E3-9099-C40C66FF867C}">
              <a14:compatExt xmlns:a14="http://schemas.microsoft.com/office/drawing/2010/main" spid="_x0000_s24610"/>
            </a:ext>
            <a:ext uri="{FF2B5EF4-FFF2-40B4-BE49-F238E27FC236}">
              <a16:creationId xmlns:a16="http://schemas.microsoft.com/office/drawing/2014/main" id="{00000000-0008-0000-0200-0000CE000000}"/>
            </a:ext>
          </a:extLst>
        </xdr:cNvPr>
        <xdr:cNvSpPr/>
      </xdr:nvSpPr>
      <xdr:spPr>
        <a:xfrm>
          <a:off x="76200" y="6143625"/>
          <a:ext cx="161925" cy="171450"/>
        </a:xfrm>
        <a:prstGeom prst="rect">
          <a:avLst/>
        </a:prstGeom>
      </xdr:spPr>
    </xdr:sp>
    <xdr:clientData/>
  </xdr:oneCellAnchor>
  <xdr:oneCellAnchor>
    <xdr:from>
      <xdr:col>1</xdr:col>
      <xdr:colOff>85725</xdr:colOff>
      <xdr:row>21</xdr:row>
      <xdr:rowOff>0</xdr:rowOff>
    </xdr:from>
    <xdr:ext cx="161925" cy="171450"/>
    <xdr:sp macro="" textlink="">
      <xdr:nvSpPr>
        <xdr:cNvPr id="207" name="CheckBox5" hidden="1">
          <a:extLst>
            <a:ext uri="{63B3BB69-23CF-44E3-9099-C40C66FF867C}">
              <a14:compatExt xmlns:a14="http://schemas.microsoft.com/office/drawing/2010/main" spid="_x0000_s24613"/>
            </a:ext>
            <a:ext uri="{FF2B5EF4-FFF2-40B4-BE49-F238E27FC236}">
              <a16:creationId xmlns:a16="http://schemas.microsoft.com/office/drawing/2014/main" id="{00000000-0008-0000-0200-0000CF000000}"/>
            </a:ext>
          </a:extLst>
        </xdr:cNvPr>
        <xdr:cNvSpPr/>
      </xdr:nvSpPr>
      <xdr:spPr>
        <a:xfrm>
          <a:off x="85725" y="6429375"/>
          <a:ext cx="161925" cy="171450"/>
        </a:xfrm>
        <a:prstGeom prst="rect">
          <a:avLst/>
        </a:prstGeom>
      </xdr:spPr>
    </xdr:sp>
    <xdr:clientData/>
  </xdr:oneCellAnchor>
  <xdr:oneCellAnchor>
    <xdr:from>
      <xdr:col>1</xdr:col>
      <xdr:colOff>85725</xdr:colOff>
      <xdr:row>15</xdr:row>
      <xdr:rowOff>66675</xdr:rowOff>
    </xdr:from>
    <xdr:ext cx="161925" cy="171450"/>
    <xdr:sp macro="" textlink="">
      <xdr:nvSpPr>
        <xdr:cNvPr id="213" name="CheckBox3" hidden="1">
          <a:extLst>
            <a:ext uri="{63B3BB69-23CF-44E3-9099-C40C66FF867C}">
              <a14:compatExt xmlns:a14="http://schemas.microsoft.com/office/drawing/2010/main" spid="_x0000_s24605"/>
            </a:ext>
            <a:ext uri="{FF2B5EF4-FFF2-40B4-BE49-F238E27FC236}">
              <a16:creationId xmlns:a16="http://schemas.microsoft.com/office/drawing/2014/main" id="{00000000-0008-0000-0200-0000D5000000}"/>
            </a:ext>
          </a:extLst>
        </xdr:cNvPr>
        <xdr:cNvSpPr/>
      </xdr:nvSpPr>
      <xdr:spPr>
        <a:xfrm>
          <a:off x="85725" y="4714875"/>
          <a:ext cx="161925" cy="171450"/>
        </a:xfrm>
        <a:prstGeom prst="rect">
          <a:avLst/>
        </a:prstGeom>
      </xdr:spPr>
    </xdr:sp>
    <xdr:clientData/>
  </xdr:oneCellAnchor>
  <xdr:oneCellAnchor>
    <xdr:from>
      <xdr:col>1</xdr:col>
      <xdr:colOff>85725</xdr:colOff>
      <xdr:row>16</xdr:row>
      <xdr:rowOff>66675</xdr:rowOff>
    </xdr:from>
    <xdr:ext cx="161925" cy="171450"/>
    <xdr:sp macro="" textlink="">
      <xdr:nvSpPr>
        <xdr:cNvPr id="214" name="CheckBox4" hidden="1">
          <a:extLst>
            <a:ext uri="{63B3BB69-23CF-44E3-9099-C40C66FF867C}">
              <a14:compatExt xmlns:a14="http://schemas.microsoft.com/office/drawing/2010/main" spid="_x0000_s24606"/>
            </a:ext>
            <a:ext uri="{FF2B5EF4-FFF2-40B4-BE49-F238E27FC236}">
              <a16:creationId xmlns:a16="http://schemas.microsoft.com/office/drawing/2014/main" id="{00000000-0008-0000-0200-0000D6000000}"/>
            </a:ext>
          </a:extLst>
        </xdr:cNvPr>
        <xdr:cNvSpPr/>
      </xdr:nvSpPr>
      <xdr:spPr>
        <a:xfrm>
          <a:off x="85725" y="5000625"/>
          <a:ext cx="161925" cy="171450"/>
        </a:xfrm>
        <a:prstGeom prst="rect">
          <a:avLst/>
        </a:prstGeom>
      </xdr:spPr>
    </xdr:sp>
    <xdr:clientData/>
  </xdr:oneCellAnchor>
  <xdr:oneCellAnchor>
    <xdr:from>
      <xdr:col>1</xdr:col>
      <xdr:colOff>85725</xdr:colOff>
      <xdr:row>17</xdr:row>
      <xdr:rowOff>66675</xdr:rowOff>
    </xdr:from>
    <xdr:ext cx="161925" cy="171450"/>
    <xdr:sp macro="" textlink="">
      <xdr:nvSpPr>
        <xdr:cNvPr id="215" name="CheckBox5" hidden="1">
          <a:extLst>
            <a:ext uri="{63B3BB69-23CF-44E3-9099-C40C66FF867C}">
              <a14:compatExt xmlns:a14="http://schemas.microsoft.com/office/drawing/2010/main" spid="_x0000_s24607"/>
            </a:ext>
            <a:ext uri="{FF2B5EF4-FFF2-40B4-BE49-F238E27FC236}">
              <a16:creationId xmlns:a16="http://schemas.microsoft.com/office/drawing/2014/main" id="{00000000-0008-0000-0200-0000D7000000}"/>
            </a:ext>
          </a:extLst>
        </xdr:cNvPr>
        <xdr:cNvSpPr/>
      </xdr:nvSpPr>
      <xdr:spPr>
        <a:xfrm>
          <a:off x="85725" y="5286375"/>
          <a:ext cx="161925" cy="171450"/>
        </a:xfrm>
        <a:prstGeom prst="rect">
          <a:avLst/>
        </a:prstGeom>
      </xdr:spPr>
    </xdr:sp>
    <xdr:clientData/>
  </xdr:oneCellAnchor>
  <xdr:oneCellAnchor>
    <xdr:from>
      <xdr:col>1</xdr:col>
      <xdr:colOff>76200</xdr:colOff>
      <xdr:row>20</xdr:row>
      <xdr:rowOff>66675</xdr:rowOff>
    </xdr:from>
    <xdr:ext cx="161925" cy="171450"/>
    <xdr:sp macro="" textlink="">
      <xdr:nvSpPr>
        <xdr:cNvPr id="216" name="CheckBox2" hidden="1">
          <a:extLst>
            <a:ext uri="{63B3BB69-23CF-44E3-9099-C40C66FF867C}">
              <a14:compatExt xmlns:a14="http://schemas.microsoft.com/office/drawing/2010/main" spid="_x0000_s24610"/>
            </a:ext>
            <a:ext uri="{FF2B5EF4-FFF2-40B4-BE49-F238E27FC236}">
              <a16:creationId xmlns:a16="http://schemas.microsoft.com/office/drawing/2014/main" id="{00000000-0008-0000-0200-0000D8000000}"/>
            </a:ext>
          </a:extLst>
        </xdr:cNvPr>
        <xdr:cNvSpPr/>
      </xdr:nvSpPr>
      <xdr:spPr>
        <a:xfrm>
          <a:off x="76200" y="6143625"/>
          <a:ext cx="161925" cy="171450"/>
        </a:xfrm>
        <a:prstGeom prst="rect">
          <a:avLst/>
        </a:prstGeom>
      </xdr:spPr>
    </xdr:sp>
    <xdr:clientData/>
  </xdr:oneCellAnchor>
  <xdr:oneCellAnchor>
    <xdr:from>
      <xdr:col>1</xdr:col>
      <xdr:colOff>85725</xdr:colOff>
      <xdr:row>21</xdr:row>
      <xdr:rowOff>0</xdr:rowOff>
    </xdr:from>
    <xdr:ext cx="161925" cy="171450"/>
    <xdr:sp macro="" textlink="">
      <xdr:nvSpPr>
        <xdr:cNvPr id="217" name="CheckBox5" hidden="1">
          <a:extLst>
            <a:ext uri="{63B3BB69-23CF-44E3-9099-C40C66FF867C}">
              <a14:compatExt xmlns:a14="http://schemas.microsoft.com/office/drawing/2010/main" spid="_x0000_s24613"/>
            </a:ext>
            <a:ext uri="{FF2B5EF4-FFF2-40B4-BE49-F238E27FC236}">
              <a16:creationId xmlns:a16="http://schemas.microsoft.com/office/drawing/2014/main" id="{00000000-0008-0000-0200-0000D9000000}"/>
            </a:ext>
          </a:extLst>
        </xdr:cNvPr>
        <xdr:cNvSpPr/>
      </xdr:nvSpPr>
      <xdr:spPr>
        <a:xfrm>
          <a:off x="85725" y="6429375"/>
          <a:ext cx="161925" cy="171450"/>
        </a:xfrm>
        <a:prstGeom prst="rect">
          <a:avLst/>
        </a:prstGeom>
      </xdr:spPr>
    </xdr:sp>
    <xdr:clientData/>
  </xdr:oneCellAnchor>
  <xdr:oneCellAnchor>
    <xdr:from>
      <xdr:col>1</xdr:col>
      <xdr:colOff>85725</xdr:colOff>
      <xdr:row>17</xdr:row>
      <xdr:rowOff>66675</xdr:rowOff>
    </xdr:from>
    <xdr:ext cx="161925" cy="171450"/>
    <xdr:sp macro="" textlink="">
      <xdr:nvSpPr>
        <xdr:cNvPr id="224" name="CheckBox4" hidden="1">
          <a:extLst>
            <a:ext uri="{63B3BB69-23CF-44E3-9099-C40C66FF867C}">
              <a14:compatExt xmlns:a14="http://schemas.microsoft.com/office/drawing/2010/main" spid="_x0000_s24606"/>
            </a:ext>
            <a:ext uri="{FF2B5EF4-FFF2-40B4-BE49-F238E27FC236}">
              <a16:creationId xmlns:a16="http://schemas.microsoft.com/office/drawing/2014/main" id="{00000000-0008-0000-0200-0000E0000000}"/>
            </a:ext>
          </a:extLst>
        </xdr:cNvPr>
        <xdr:cNvSpPr/>
      </xdr:nvSpPr>
      <xdr:spPr>
        <a:xfrm>
          <a:off x="85725" y="5286375"/>
          <a:ext cx="161925" cy="171450"/>
        </a:xfrm>
        <a:prstGeom prst="rect">
          <a:avLst/>
        </a:prstGeom>
      </xdr:spPr>
    </xdr:sp>
    <xdr:clientData/>
  </xdr:oneCellAnchor>
  <xdr:oneCellAnchor>
    <xdr:from>
      <xdr:col>1</xdr:col>
      <xdr:colOff>85725</xdr:colOff>
      <xdr:row>18</xdr:row>
      <xdr:rowOff>66675</xdr:rowOff>
    </xdr:from>
    <xdr:ext cx="161925" cy="171450"/>
    <xdr:sp macro="" textlink="">
      <xdr:nvSpPr>
        <xdr:cNvPr id="225" name="CheckBox5" hidden="1">
          <a:extLst>
            <a:ext uri="{63B3BB69-23CF-44E3-9099-C40C66FF867C}">
              <a14:compatExt xmlns:a14="http://schemas.microsoft.com/office/drawing/2010/main" spid="_x0000_s24607"/>
            </a:ext>
            <a:ext uri="{FF2B5EF4-FFF2-40B4-BE49-F238E27FC236}">
              <a16:creationId xmlns:a16="http://schemas.microsoft.com/office/drawing/2014/main" id="{00000000-0008-0000-0200-0000E1000000}"/>
            </a:ext>
          </a:extLst>
        </xdr:cNvPr>
        <xdr:cNvSpPr/>
      </xdr:nvSpPr>
      <xdr:spPr>
        <a:xfrm>
          <a:off x="85725" y="5572125"/>
          <a:ext cx="161925" cy="171450"/>
        </a:xfrm>
        <a:prstGeom prst="rect">
          <a:avLst/>
        </a:prstGeom>
      </xdr:spPr>
    </xdr:sp>
    <xdr:clientData/>
  </xdr:oneCellAnchor>
  <xdr:oneCellAnchor>
    <xdr:from>
      <xdr:col>1</xdr:col>
      <xdr:colOff>76200</xdr:colOff>
      <xdr:row>21</xdr:row>
      <xdr:rowOff>0</xdr:rowOff>
    </xdr:from>
    <xdr:ext cx="161925" cy="171450"/>
    <xdr:sp macro="" textlink="">
      <xdr:nvSpPr>
        <xdr:cNvPr id="226" name="CheckBox2" hidden="1">
          <a:extLst>
            <a:ext uri="{63B3BB69-23CF-44E3-9099-C40C66FF867C}">
              <a14:compatExt xmlns:a14="http://schemas.microsoft.com/office/drawing/2010/main" spid="_x0000_s24610"/>
            </a:ext>
            <a:ext uri="{FF2B5EF4-FFF2-40B4-BE49-F238E27FC236}">
              <a16:creationId xmlns:a16="http://schemas.microsoft.com/office/drawing/2014/main" id="{00000000-0008-0000-0200-0000E2000000}"/>
            </a:ext>
          </a:extLst>
        </xdr:cNvPr>
        <xdr:cNvSpPr/>
      </xdr:nvSpPr>
      <xdr:spPr>
        <a:xfrm>
          <a:off x="76200" y="6429375"/>
          <a:ext cx="161925" cy="171450"/>
        </a:xfrm>
        <a:prstGeom prst="rect">
          <a:avLst/>
        </a:prstGeom>
      </xdr:spPr>
    </xdr:sp>
    <xdr:clientData/>
  </xdr:oneCellAnchor>
  <xdr:oneCellAnchor>
    <xdr:from>
      <xdr:col>1</xdr:col>
      <xdr:colOff>85725</xdr:colOff>
      <xdr:row>17</xdr:row>
      <xdr:rowOff>66675</xdr:rowOff>
    </xdr:from>
    <xdr:ext cx="161925" cy="171450"/>
    <xdr:sp macro="" textlink="">
      <xdr:nvSpPr>
        <xdr:cNvPr id="231" name="CheckBox4" hidden="1">
          <a:extLst>
            <a:ext uri="{63B3BB69-23CF-44E3-9099-C40C66FF867C}">
              <a14:compatExt xmlns:a14="http://schemas.microsoft.com/office/drawing/2010/main" spid="_x0000_s24606"/>
            </a:ext>
            <a:ext uri="{FF2B5EF4-FFF2-40B4-BE49-F238E27FC236}">
              <a16:creationId xmlns:a16="http://schemas.microsoft.com/office/drawing/2014/main" id="{00000000-0008-0000-0200-0000E7000000}"/>
            </a:ext>
          </a:extLst>
        </xdr:cNvPr>
        <xdr:cNvSpPr/>
      </xdr:nvSpPr>
      <xdr:spPr>
        <a:xfrm>
          <a:off x="85725" y="5286375"/>
          <a:ext cx="161925" cy="171450"/>
        </a:xfrm>
        <a:prstGeom prst="rect">
          <a:avLst/>
        </a:prstGeom>
      </xdr:spPr>
    </xdr:sp>
    <xdr:clientData/>
  </xdr:oneCellAnchor>
  <xdr:oneCellAnchor>
    <xdr:from>
      <xdr:col>1</xdr:col>
      <xdr:colOff>85725</xdr:colOff>
      <xdr:row>18</xdr:row>
      <xdr:rowOff>66675</xdr:rowOff>
    </xdr:from>
    <xdr:ext cx="161925" cy="171450"/>
    <xdr:sp macro="" textlink="">
      <xdr:nvSpPr>
        <xdr:cNvPr id="232" name="CheckBox5" hidden="1">
          <a:extLst>
            <a:ext uri="{63B3BB69-23CF-44E3-9099-C40C66FF867C}">
              <a14:compatExt xmlns:a14="http://schemas.microsoft.com/office/drawing/2010/main" spid="_x0000_s24607"/>
            </a:ext>
            <a:ext uri="{FF2B5EF4-FFF2-40B4-BE49-F238E27FC236}">
              <a16:creationId xmlns:a16="http://schemas.microsoft.com/office/drawing/2014/main" id="{00000000-0008-0000-0200-0000E8000000}"/>
            </a:ext>
          </a:extLst>
        </xdr:cNvPr>
        <xdr:cNvSpPr/>
      </xdr:nvSpPr>
      <xdr:spPr>
        <a:xfrm>
          <a:off x="85725" y="5572125"/>
          <a:ext cx="161925" cy="171450"/>
        </a:xfrm>
        <a:prstGeom prst="rect">
          <a:avLst/>
        </a:prstGeom>
      </xdr:spPr>
    </xdr:sp>
    <xdr:clientData/>
  </xdr:oneCellAnchor>
  <xdr:oneCellAnchor>
    <xdr:from>
      <xdr:col>1</xdr:col>
      <xdr:colOff>76200</xdr:colOff>
      <xdr:row>21</xdr:row>
      <xdr:rowOff>0</xdr:rowOff>
    </xdr:from>
    <xdr:ext cx="161925" cy="171450"/>
    <xdr:sp macro="" textlink="">
      <xdr:nvSpPr>
        <xdr:cNvPr id="233" name="CheckBox2" hidden="1">
          <a:extLst>
            <a:ext uri="{63B3BB69-23CF-44E3-9099-C40C66FF867C}">
              <a14:compatExt xmlns:a14="http://schemas.microsoft.com/office/drawing/2010/main" spid="_x0000_s24610"/>
            </a:ext>
            <a:ext uri="{FF2B5EF4-FFF2-40B4-BE49-F238E27FC236}">
              <a16:creationId xmlns:a16="http://schemas.microsoft.com/office/drawing/2014/main" id="{00000000-0008-0000-0200-0000E9000000}"/>
            </a:ext>
          </a:extLst>
        </xdr:cNvPr>
        <xdr:cNvSpPr/>
      </xdr:nvSpPr>
      <xdr:spPr>
        <a:xfrm>
          <a:off x="76200" y="6429375"/>
          <a:ext cx="161925" cy="171450"/>
        </a:xfrm>
        <a:prstGeom prst="rect">
          <a:avLst/>
        </a:prstGeom>
      </xdr:spPr>
    </xdr:sp>
    <xdr:clientData/>
  </xdr:oneCellAnchor>
  <xdr:oneCellAnchor>
    <xdr:from>
      <xdr:col>2</xdr:col>
      <xdr:colOff>0</xdr:colOff>
      <xdr:row>16</xdr:row>
      <xdr:rowOff>76200</xdr:rowOff>
    </xdr:from>
    <xdr:ext cx="161925" cy="171450"/>
    <xdr:sp macro="" textlink="">
      <xdr:nvSpPr>
        <xdr:cNvPr id="235" name="CheckBox7" hidden="1">
          <a:extLst>
            <a:ext uri="{63B3BB69-23CF-44E3-9099-C40C66FF867C}">
              <a14:compatExt xmlns:a14="http://schemas.microsoft.com/office/drawing/2010/main" spid="_x0000_s24621"/>
            </a:ext>
            <a:ext uri="{FF2B5EF4-FFF2-40B4-BE49-F238E27FC236}">
              <a16:creationId xmlns:a16="http://schemas.microsoft.com/office/drawing/2014/main" id="{00000000-0008-0000-0200-0000EB000000}"/>
            </a:ext>
          </a:extLst>
        </xdr:cNvPr>
        <xdr:cNvSpPr/>
      </xdr:nvSpPr>
      <xdr:spPr>
        <a:xfrm>
          <a:off x="2847975" y="5010150"/>
          <a:ext cx="161925" cy="171450"/>
        </a:xfrm>
        <a:prstGeom prst="rect">
          <a:avLst/>
        </a:prstGeom>
      </xdr:spPr>
    </xdr:sp>
    <xdr:clientData/>
  </xdr:oneCellAnchor>
  <xdr:oneCellAnchor>
    <xdr:from>
      <xdr:col>2</xdr:col>
      <xdr:colOff>0</xdr:colOff>
      <xdr:row>17</xdr:row>
      <xdr:rowOff>76200</xdr:rowOff>
    </xdr:from>
    <xdr:ext cx="161925" cy="171450"/>
    <xdr:sp macro="" textlink="">
      <xdr:nvSpPr>
        <xdr:cNvPr id="236" name="CheckBox8" hidden="1">
          <a:extLst>
            <a:ext uri="{63B3BB69-23CF-44E3-9099-C40C66FF867C}">
              <a14:compatExt xmlns:a14="http://schemas.microsoft.com/office/drawing/2010/main" spid="_x0000_s24622"/>
            </a:ext>
            <a:ext uri="{FF2B5EF4-FFF2-40B4-BE49-F238E27FC236}">
              <a16:creationId xmlns:a16="http://schemas.microsoft.com/office/drawing/2014/main" id="{00000000-0008-0000-0200-0000EC000000}"/>
            </a:ext>
          </a:extLst>
        </xdr:cNvPr>
        <xdr:cNvSpPr/>
      </xdr:nvSpPr>
      <xdr:spPr>
        <a:xfrm>
          <a:off x="2847975" y="5295900"/>
          <a:ext cx="161925" cy="171450"/>
        </a:xfrm>
        <a:prstGeom prst="rect">
          <a:avLst/>
        </a:prstGeom>
      </xdr:spPr>
    </xdr:sp>
    <xdr:clientData/>
  </xdr:oneCellAnchor>
  <xdr:oneCellAnchor>
    <xdr:from>
      <xdr:col>2</xdr:col>
      <xdr:colOff>0</xdr:colOff>
      <xdr:row>18</xdr:row>
      <xdr:rowOff>76200</xdr:rowOff>
    </xdr:from>
    <xdr:ext cx="161925" cy="171450"/>
    <xdr:sp macro="" textlink="">
      <xdr:nvSpPr>
        <xdr:cNvPr id="237" name="CheckBox9" hidden="1">
          <a:extLst>
            <a:ext uri="{63B3BB69-23CF-44E3-9099-C40C66FF867C}">
              <a14:compatExt xmlns:a14="http://schemas.microsoft.com/office/drawing/2010/main" spid="_x0000_s24623"/>
            </a:ext>
            <a:ext uri="{FF2B5EF4-FFF2-40B4-BE49-F238E27FC236}">
              <a16:creationId xmlns:a16="http://schemas.microsoft.com/office/drawing/2014/main" id="{00000000-0008-0000-0200-0000ED000000}"/>
            </a:ext>
          </a:extLst>
        </xdr:cNvPr>
        <xdr:cNvSpPr/>
      </xdr:nvSpPr>
      <xdr:spPr>
        <a:xfrm>
          <a:off x="2847975" y="5581650"/>
          <a:ext cx="161925" cy="171450"/>
        </a:xfrm>
        <a:prstGeom prst="rect">
          <a:avLst/>
        </a:prstGeom>
      </xdr:spPr>
    </xdr:sp>
    <xdr:clientData/>
  </xdr:oneCellAnchor>
  <xdr:oneCellAnchor>
    <xdr:from>
      <xdr:col>2</xdr:col>
      <xdr:colOff>0</xdr:colOff>
      <xdr:row>19</xdr:row>
      <xdr:rowOff>76200</xdr:rowOff>
    </xdr:from>
    <xdr:ext cx="161925" cy="171450"/>
    <xdr:sp macro="" textlink="">
      <xdr:nvSpPr>
        <xdr:cNvPr id="238" name="CheckBox10" hidden="1">
          <a:extLst>
            <a:ext uri="{63B3BB69-23CF-44E3-9099-C40C66FF867C}">
              <a14:compatExt xmlns:a14="http://schemas.microsoft.com/office/drawing/2010/main" spid="_x0000_s24624"/>
            </a:ext>
            <a:ext uri="{FF2B5EF4-FFF2-40B4-BE49-F238E27FC236}">
              <a16:creationId xmlns:a16="http://schemas.microsoft.com/office/drawing/2014/main" id="{00000000-0008-0000-0200-0000EE000000}"/>
            </a:ext>
          </a:extLst>
        </xdr:cNvPr>
        <xdr:cNvSpPr/>
      </xdr:nvSpPr>
      <xdr:spPr>
        <a:xfrm>
          <a:off x="2847975" y="5867400"/>
          <a:ext cx="161925" cy="171450"/>
        </a:xfrm>
        <a:prstGeom prst="rect">
          <a:avLst/>
        </a:prstGeom>
      </xdr:spPr>
    </xdr:sp>
    <xdr:clientData/>
  </xdr:oneCellAnchor>
  <xdr:oneCellAnchor>
    <xdr:from>
      <xdr:col>2</xdr:col>
      <xdr:colOff>0</xdr:colOff>
      <xdr:row>21</xdr:row>
      <xdr:rowOff>0</xdr:rowOff>
    </xdr:from>
    <xdr:ext cx="161925" cy="171450"/>
    <xdr:sp macro="" textlink="">
      <xdr:nvSpPr>
        <xdr:cNvPr id="239" name="CheckBox11" hidden="1">
          <a:extLst>
            <a:ext uri="{63B3BB69-23CF-44E3-9099-C40C66FF867C}">
              <a14:compatExt xmlns:a14="http://schemas.microsoft.com/office/drawing/2010/main" spid="_x0000_s24625"/>
            </a:ext>
            <a:ext uri="{FF2B5EF4-FFF2-40B4-BE49-F238E27FC236}">
              <a16:creationId xmlns:a16="http://schemas.microsoft.com/office/drawing/2014/main" id="{00000000-0008-0000-0200-0000EF000000}"/>
            </a:ext>
          </a:extLst>
        </xdr:cNvPr>
        <xdr:cNvSpPr/>
      </xdr:nvSpPr>
      <xdr:spPr>
        <a:xfrm>
          <a:off x="2847975" y="6438900"/>
          <a:ext cx="161925" cy="171450"/>
        </a:xfrm>
        <a:prstGeom prst="rect">
          <a:avLst/>
        </a:prstGeom>
      </xdr:spPr>
    </xdr:sp>
    <xdr:clientData/>
  </xdr:oneCellAnchor>
  <xdr:oneCellAnchor>
    <xdr:from>
      <xdr:col>2</xdr:col>
      <xdr:colOff>0</xdr:colOff>
      <xdr:row>15</xdr:row>
      <xdr:rowOff>66675</xdr:rowOff>
    </xdr:from>
    <xdr:ext cx="161925" cy="171450"/>
    <xdr:sp macro="" textlink="">
      <xdr:nvSpPr>
        <xdr:cNvPr id="240" name="CheckBox3" hidden="1">
          <a:extLst>
            <a:ext uri="{63B3BB69-23CF-44E3-9099-C40C66FF867C}">
              <a14:compatExt xmlns:a14="http://schemas.microsoft.com/office/drawing/2010/main" spid="_x0000_s24629"/>
            </a:ext>
            <a:ext uri="{FF2B5EF4-FFF2-40B4-BE49-F238E27FC236}">
              <a16:creationId xmlns:a16="http://schemas.microsoft.com/office/drawing/2014/main" id="{00000000-0008-0000-0200-0000F0000000}"/>
            </a:ext>
          </a:extLst>
        </xdr:cNvPr>
        <xdr:cNvSpPr/>
      </xdr:nvSpPr>
      <xdr:spPr>
        <a:xfrm>
          <a:off x="2847975" y="4714875"/>
          <a:ext cx="161925" cy="171450"/>
        </a:xfrm>
        <a:prstGeom prst="rect">
          <a:avLst/>
        </a:prstGeom>
      </xdr:spPr>
    </xdr:sp>
    <xdr:clientData/>
  </xdr:oneCellAnchor>
  <xdr:oneCellAnchor>
    <xdr:from>
      <xdr:col>2</xdr:col>
      <xdr:colOff>0</xdr:colOff>
      <xdr:row>16</xdr:row>
      <xdr:rowOff>66675</xdr:rowOff>
    </xdr:from>
    <xdr:ext cx="161925" cy="171450"/>
    <xdr:sp macro="" textlink="">
      <xdr:nvSpPr>
        <xdr:cNvPr id="241" name="CheckBox4" hidden="1">
          <a:extLst>
            <a:ext uri="{63B3BB69-23CF-44E3-9099-C40C66FF867C}">
              <a14:compatExt xmlns:a14="http://schemas.microsoft.com/office/drawing/2010/main" spid="_x0000_s24630"/>
            </a:ext>
            <a:ext uri="{FF2B5EF4-FFF2-40B4-BE49-F238E27FC236}">
              <a16:creationId xmlns:a16="http://schemas.microsoft.com/office/drawing/2014/main" id="{00000000-0008-0000-0200-0000F1000000}"/>
            </a:ext>
          </a:extLst>
        </xdr:cNvPr>
        <xdr:cNvSpPr/>
      </xdr:nvSpPr>
      <xdr:spPr>
        <a:xfrm>
          <a:off x="2847975" y="5000625"/>
          <a:ext cx="161925" cy="171450"/>
        </a:xfrm>
        <a:prstGeom prst="rect">
          <a:avLst/>
        </a:prstGeom>
      </xdr:spPr>
    </xdr:sp>
    <xdr:clientData/>
  </xdr:oneCellAnchor>
  <xdr:oneCellAnchor>
    <xdr:from>
      <xdr:col>2</xdr:col>
      <xdr:colOff>0</xdr:colOff>
      <xdr:row>17</xdr:row>
      <xdr:rowOff>66675</xdr:rowOff>
    </xdr:from>
    <xdr:ext cx="161925" cy="171450"/>
    <xdr:sp macro="" textlink="">
      <xdr:nvSpPr>
        <xdr:cNvPr id="242" name="CheckBox5" hidden="1">
          <a:extLst>
            <a:ext uri="{63B3BB69-23CF-44E3-9099-C40C66FF867C}">
              <a14:compatExt xmlns:a14="http://schemas.microsoft.com/office/drawing/2010/main" spid="_x0000_s24631"/>
            </a:ext>
            <a:ext uri="{FF2B5EF4-FFF2-40B4-BE49-F238E27FC236}">
              <a16:creationId xmlns:a16="http://schemas.microsoft.com/office/drawing/2014/main" id="{00000000-0008-0000-0200-0000F2000000}"/>
            </a:ext>
          </a:extLst>
        </xdr:cNvPr>
        <xdr:cNvSpPr/>
      </xdr:nvSpPr>
      <xdr:spPr>
        <a:xfrm>
          <a:off x="2847975" y="5286375"/>
          <a:ext cx="161925" cy="171450"/>
        </a:xfrm>
        <a:prstGeom prst="rect">
          <a:avLst/>
        </a:prstGeom>
      </xdr:spPr>
    </xdr:sp>
    <xdr:clientData/>
  </xdr:oneCellAnchor>
  <xdr:oneCellAnchor>
    <xdr:from>
      <xdr:col>2</xdr:col>
      <xdr:colOff>0</xdr:colOff>
      <xdr:row>18</xdr:row>
      <xdr:rowOff>76200</xdr:rowOff>
    </xdr:from>
    <xdr:ext cx="161925" cy="171450"/>
    <xdr:sp macro="" textlink="">
      <xdr:nvSpPr>
        <xdr:cNvPr id="243" name="CheckBox6" hidden="1">
          <a:extLst>
            <a:ext uri="{63B3BB69-23CF-44E3-9099-C40C66FF867C}">
              <a14:compatExt xmlns:a14="http://schemas.microsoft.com/office/drawing/2010/main" spid="_x0000_s24632"/>
            </a:ext>
            <a:ext uri="{FF2B5EF4-FFF2-40B4-BE49-F238E27FC236}">
              <a16:creationId xmlns:a16="http://schemas.microsoft.com/office/drawing/2014/main" id="{00000000-0008-0000-0200-0000F3000000}"/>
            </a:ext>
          </a:extLst>
        </xdr:cNvPr>
        <xdr:cNvSpPr/>
      </xdr:nvSpPr>
      <xdr:spPr>
        <a:xfrm>
          <a:off x="2847975" y="5581650"/>
          <a:ext cx="161925" cy="171450"/>
        </a:xfrm>
        <a:prstGeom prst="rect">
          <a:avLst/>
        </a:prstGeom>
      </xdr:spPr>
    </xdr:sp>
    <xdr:clientData/>
  </xdr:oneCellAnchor>
  <xdr:oneCellAnchor>
    <xdr:from>
      <xdr:col>2</xdr:col>
      <xdr:colOff>0</xdr:colOff>
      <xdr:row>20</xdr:row>
      <xdr:rowOff>76200</xdr:rowOff>
    </xdr:from>
    <xdr:ext cx="161925" cy="171450"/>
    <xdr:sp macro="" textlink="">
      <xdr:nvSpPr>
        <xdr:cNvPr id="244" name="CheckBox2" hidden="1">
          <a:extLst>
            <a:ext uri="{63B3BB69-23CF-44E3-9099-C40C66FF867C}">
              <a14:compatExt xmlns:a14="http://schemas.microsoft.com/office/drawing/2010/main" spid="_x0000_s24634"/>
            </a:ext>
            <a:ext uri="{FF2B5EF4-FFF2-40B4-BE49-F238E27FC236}">
              <a16:creationId xmlns:a16="http://schemas.microsoft.com/office/drawing/2014/main" id="{00000000-0008-0000-0200-0000F4000000}"/>
            </a:ext>
          </a:extLst>
        </xdr:cNvPr>
        <xdr:cNvSpPr/>
      </xdr:nvSpPr>
      <xdr:spPr>
        <a:xfrm>
          <a:off x="2847975" y="6153150"/>
          <a:ext cx="161925" cy="171450"/>
        </a:xfrm>
        <a:prstGeom prst="rect">
          <a:avLst/>
        </a:prstGeom>
      </xdr:spPr>
    </xdr:sp>
    <xdr:clientData/>
  </xdr:oneCellAnchor>
  <xdr:oneCellAnchor>
    <xdr:from>
      <xdr:col>2</xdr:col>
      <xdr:colOff>0</xdr:colOff>
      <xdr:row>21</xdr:row>
      <xdr:rowOff>0</xdr:rowOff>
    </xdr:from>
    <xdr:ext cx="161925" cy="171450"/>
    <xdr:sp macro="" textlink="">
      <xdr:nvSpPr>
        <xdr:cNvPr id="245" name="CheckBox5" hidden="1">
          <a:extLst>
            <a:ext uri="{63B3BB69-23CF-44E3-9099-C40C66FF867C}">
              <a14:compatExt xmlns:a14="http://schemas.microsoft.com/office/drawing/2010/main" spid="_x0000_s24637"/>
            </a:ext>
            <a:ext uri="{FF2B5EF4-FFF2-40B4-BE49-F238E27FC236}">
              <a16:creationId xmlns:a16="http://schemas.microsoft.com/office/drawing/2014/main" id="{00000000-0008-0000-0200-0000F5000000}"/>
            </a:ext>
          </a:extLst>
        </xdr:cNvPr>
        <xdr:cNvSpPr/>
      </xdr:nvSpPr>
      <xdr:spPr>
        <a:xfrm>
          <a:off x="2847975" y="6429375"/>
          <a:ext cx="161925" cy="171450"/>
        </a:xfrm>
        <a:prstGeom prst="rect">
          <a:avLst/>
        </a:prstGeom>
      </xdr:spPr>
    </xdr:sp>
    <xdr:clientData/>
  </xdr:oneCellAnchor>
  <xdr:oneCellAnchor>
    <xdr:from>
      <xdr:col>2</xdr:col>
      <xdr:colOff>0</xdr:colOff>
      <xdr:row>16</xdr:row>
      <xdr:rowOff>76200</xdr:rowOff>
    </xdr:from>
    <xdr:ext cx="161925" cy="171450"/>
    <xdr:sp macro="" textlink="">
      <xdr:nvSpPr>
        <xdr:cNvPr id="246" name="CheckBox7" hidden="1">
          <a:extLst>
            <a:ext uri="{63B3BB69-23CF-44E3-9099-C40C66FF867C}">
              <a14:compatExt xmlns:a14="http://schemas.microsoft.com/office/drawing/2010/main" spid="_x0000_s24645"/>
            </a:ext>
            <a:ext uri="{FF2B5EF4-FFF2-40B4-BE49-F238E27FC236}">
              <a16:creationId xmlns:a16="http://schemas.microsoft.com/office/drawing/2014/main" id="{00000000-0008-0000-0200-0000F6000000}"/>
            </a:ext>
          </a:extLst>
        </xdr:cNvPr>
        <xdr:cNvSpPr/>
      </xdr:nvSpPr>
      <xdr:spPr>
        <a:xfrm>
          <a:off x="2847975" y="5010150"/>
          <a:ext cx="161925" cy="171450"/>
        </a:xfrm>
        <a:prstGeom prst="rect">
          <a:avLst/>
        </a:prstGeom>
      </xdr:spPr>
    </xdr:sp>
    <xdr:clientData/>
  </xdr:oneCellAnchor>
  <xdr:oneCellAnchor>
    <xdr:from>
      <xdr:col>2</xdr:col>
      <xdr:colOff>0</xdr:colOff>
      <xdr:row>15</xdr:row>
      <xdr:rowOff>66675</xdr:rowOff>
    </xdr:from>
    <xdr:ext cx="161925" cy="171450"/>
    <xdr:sp macro="" textlink="">
      <xdr:nvSpPr>
        <xdr:cNvPr id="247" name="CheckBox3" hidden="1">
          <a:extLst>
            <a:ext uri="{63B3BB69-23CF-44E3-9099-C40C66FF867C}">
              <a14:compatExt xmlns:a14="http://schemas.microsoft.com/office/drawing/2010/main" spid="_x0000_s24648"/>
            </a:ext>
            <a:ext uri="{FF2B5EF4-FFF2-40B4-BE49-F238E27FC236}">
              <a16:creationId xmlns:a16="http://schemas.microsoft.com/office/drawing/2014/main" id="{00000000-0008-0000-0200-0000F7000000}"/>
            </a:ext>
          </a:extLst>
        </xdr:cNvPr>
        <xdr:cNvSpPr/>
      </xdr:nvSpPr>
      <xdr:spPr>
        <a:xfrm>
          <a:off x="2847975" y="4714875"/>
          <a:ext cx="161925" cy="171450"/>
        </a:xfrm>
        <a:prstGeom prst="rect">
          <a:avLst/>
        </a:prstGeom>
      </xdr:spPr>
    </xdr:sp>
    <xdr:clientData/>
  </xdr:oneCellAnchor>
  <xdr:oneCellAnchor>
    <xdr:from>
      <xdr:col>2</xdr:col>
      <xdr:colOff>0</xdr:colOff>
      <xdr:row>16</xdr:row>
      <xdr:rowOff>66675</xdr:rowOff>
    </xdr:from>
    <xdr:ext cx="161925" cy="171450"/>
    <xdr:sp macro="" textlink="">
      <xdr:nvSpPr>
        <xdr:cNvPr id="248" name="CheckBox4" hidden="1">
          <a:extLst>
            <a:ext uri="{63B3BB69-23CF-44E3-9099-C40C66FF867C}">
              <a14:compatExt xmlns:a14="http://schemas.microsoft.com/office/drawing/2010/main" spid="_x0000_s24649"/>
            </a:ext>
            <a:ext uri="{FF2B5EF4-FFF2-40B4-BE49-F238E27FC236}">
              <a16:creationId xmlns:a16="http://schemas.microsoft.com/office/drawing/2014/main" id="{00000000-0008-0000-0200-0000F8000000}"/>
            </a:ext>
          </a:extLst>
        </xdr:cNvPr>
        <xdr:cNvSpPr/>
      </xdr:nvSpPr>
      <xdr:spPr>
        <a:xfrm>
          <a:off x="2847975" y="5000625"/>
          <a:ext cx="161925" cy="171450"/>
        </a:xfrm>
        <a:prstGeom prst="rect">
          <a:avLst/>
        </a:prstGeom>
      </xdr:spPr>
    </xdr:sp>
    <xdr:clientData/>
  </xdr:oneCellAnchor>
  <xdr:oneCellAnchor>
    <xdr:from>
      <xdr:col>2</xdr:col>
      <xdr:colOff>0</xdr:colOff>
      <xdr:row>16</xdr:row>
      <xdr:rowOff>76200</xdr:rowOff>
    </xdr:from>
    <xdr:ext cx="161925" cy="171450"/>
    <xdr:sp macro="" textlink="">
      <xdr:nvSpPr>
        <xdr:cNvPr id="249" name="CheckBox7" hidden="1">
          <a:extLst>
            <a:ext uri="{63B3BB69-23CF-44E3-9099-C40C66FF867C}">
              <a14:compatExt xmlns:a14="http://schemas.microsoft.com/office/drawing/2010/main" spid="_x0000_s24650"/>
            </a:ext>
            <a:ext uri="{FF2B5EF4-FFF2-40B4-BE49-F238E27FC236}">
              <a16:creationId xmlns:a16="http://schemas.microsoft.com/office/drawing/2014/main" id="{00000000-0008-0000-0200-0000F9000000}"/>
            </a:ext>
          </a:extLst>
        </xdr:cNvPr>
        <xdr:cNvSpPr/>
      </xdr:nvSpPr>
      <xdr:spPr>
        <a:xfrm>
          <a:off x="2847975" y="5010150"/>
          <a:ext cx="161925" cy="171450"/>
        </a:xfrm>
        <a:prstGeom prst="rect">
          <a:avLst/>
        </a:prstGeom>
      </xdr:spPr>
    </xdr:sp>
    <xdr:clientData/>
  </xdr:oneCellAnchor>
  <xdr:oneCellAnchor>
    <xdr:from>
      <xdr:col>2</xdr:col>
      <xdr:colOff>0</xdr:colOff>
      <xdr:row>17</xdr:row>
      <xdr:rowOff>76200</xdr:rowOff>
    </xdr:from>
    <xdr:ext cx="161925" cy="171450"/>
    <xdr:sp macro="" textlink="">
      <xdr:nvSpPr>
        <xdr:cNvPr id="250" name="CheckBox8" hidden="1">
          <a:extLst>
            <a:ext uri="{63B3BB69-23CF-44E3-9099-C40C66FF867C}">
              <a14:compatExt xmlns:a14="http://schemas.microsoft.com/office/drawing/2010/main" spid="_x0000_s24651"/>
            </a:ext>
            <a:ext uri="{FF2B5EF4-FFF2-40B4-BE49-F238E27FC236}">
              <a16:creationId xmlns:a16="http://schemas.microsoft.com/office/drawing/2014/main" id="{00000000-0008-0000-0200-0000FA000000}"/>
            </a:ext>
          </a:extLst>
        </xdr:cNvPr>
        <xdr:cNvSpPr/>
      </xdr:nvSpPr>
      <xdr:spPr>
        <a:xfrm>
          <a:off x="2847975" y="5295900"/>
          <a:ext cx="161925" cy="171450"/>
        </a:xfrm>
        <a:prstGeom prst="rect">
          <a:avLst/>
        </a:prstGeom>
      </xdr:spPr>
    </xdr:sp>
    <xdr:clientData/>
  </xdr:oneCellAnchor>
  <xdr:oneCellAnchor>
    <xdr:from>
      <xdr:col>2</xdr:col>
      <xdr:colOff>0</xdr:colOff>
      <xdr:row>18</xdr:row>
      <xdr:rowOff>76200</xdr:rowOff>
    </xdr:from>
    <xdr:ext cx="161925" cy="171450"/>
    <xdr:sp macro="" textlink="">
      <xdr:nvSpPr>
        <xdr:cNvPr id="251" name="CheckBox9" hidden="1">
          <a:extLst>
            <a:ext uri="{63B3BB69-23CF-44E3-9099-C40C66FF867C}">
              <a14:compatExt xmlns:a14="http://schemas.microsoft.com/office/drawing/2010/main" spid="_x0000_s24652"/>
            </a:ext>
            <a:ext uri="{FF2B5EF4-FFF2-40B4-BE49-F238E27FC236}">
              <a16:creationId xmlns:a16="http://schemas.microsoft.com/office/drawing/2014/main" id="{00000000-0008-0000-0200-0000FB000000}"/>
            </a:ext>
          </a:extLst>
        </xdr:cNvPr>
        <xdr:cNvSpPr/>
      </xdr:nvSpPr>
      <xdr:spPr>
        <a:xfrm>
          <a:off x="2847975" y="5581650"/>
          <a:ext cx="161925" cy="171450"/>
        </a:xfrm>
        <a:prstGeom prst="rect">
          <a:avLst/>
        </a:prstGeom>
      </xdr:spPr>
    </xdr:sp>
    <xdr:clientData/>
  </xdr:oneCellAnchor>
  <xdr:oneCellAnchor>
    <xdr:from>
      <xdr:col>2</xdr:col>
      <xdr:colOff>0</xdr:colOff>
      <xdr:row>16</xdr:row>
      <xdr:rowOff>66675</xdr:rowOff>
    </xdr:from>
    <xdr:ext cx="161925" cy="171450"/>
    <xdr:sp macro="" textlink="">
      <xdr:nvSpPr>
        <xdr:cNvPr id="252" name="CheckBox4" hidden="1">
          <a:extLst>
            <a:ext uri="{63B3BB69-23CF-44E3-9099-C40C66FF867C}">
              <a14:compatExt xmlns:a14="http://schemas.microsoft.com/office/drawing/2010/main" spid="_x0000_s24653"/>
            </a:ext>
            <a:ext uri="{FF2B5EF4-FFF2-40B4-BE49-F238E27FC236}">
              <a16:creationId xmlns:a16="http://schemas.microsoft.com/office/drawing/2014/main" id="{00000000-0008-0000-0200-0000FC000000}"/>
            </a:ext>
          </a:extLst>
        </xdr:cNvPr>
        <xdr:cNvSpPr/>
      </xdr:nvSpPr>
      <xdr:spPr>
        <a:xfrm>
          <a:off x="2847975" y="5000625"/>
          <a:ext cx="161925" cy="171450"/>
        </a:xfrm>
        <a:prstGeom prst="rect">
          <a:avLst/>
        </a:prstGeom>
      </xdr:spPr>
    </xdr:sp>
    <xdr:clientData/>
  </xdr:oneCellAnchor>
  <xdr:oneCellAnchor>
    <xdr:from>
      <xdr:col>2</xdr:col>
      <xdr:colOff>0</xdr:colOff>
      <xdr:row>17</xdr:row>
      <xdr:rowOff>66675</xdr:rowOff>
    </xdr:from>
    <xdr:ext cx="161925" cy="171450"/>
    <xdr:sp macro="" textlink="">
      <xdr:nvSpPr>
        <xdr:cNvPr id="253" name="CheckBox5" hidden="1">
          <a:extLst>
            <a:ext uri="{63B3BB69-23CF-44E3-9099-C40C66FF867C}">
              <a14:compatExt xmlns:a14="http://schemas.microsoft.com/office/drawing/2010/main" spid="_x0000_s24654"/>
            </a:ext>
            <a:ext uri="{FF2B5EF4-FFF2-40B4-BE49-F238E27FC236}">
              <a16:creationId xmlns:a16="http://schemas.microsoft.com/office/drawing/2014/main" id="{00000000-0008-0000-0200-0000FD000000}"/>
            </a:ext>
          </a:extLst>
        </xdr:cNvPr>
        <xdr:cNvSpPr/>
      </xdr:nvSpPr>
      <xdr:spPr>
        <a:xfrm>
          <a:off x="2847975" y="5286375"/>
          <a:ext cx="161925" cy="171450"/>
        </a:xfrm>
        <a:prstGeom prst="rect">
          <a:avLst/>
        </a:prstGeom>
      </xdr:spPr>
    </xdr:sp>
    <xdr:clientData/>
  </xdr:oneCellAnchor>
  <xdr:oneCellAnchor>
    <xdr:from>
      <xdr:col>2</xdr:col>
      <xdr:colOff>0</xdr:colOff>
      <xdr:row>18</xdr:row>
      <xdr:rowOff>76200</xdr:rowOff>
    </xdr:from>
    <xdr:ext cx="161925" cy="171450"/>
    <xdr:sp macro="" textlink="">
      <xdr:nvSpPr>
        <xdr:cNvPr id="254" name="CheckBox6" hidden="1">
          <a:extLst>
            <a:ext uri="{63B3BB69-23CF-44E3-9099-C40C66FF867C}">
              <a14:compatExt xmlns:a14="http://schemas.microsoft.com/office/drawing/2010/main" spid="_x0000_s24655"/>
            </a:ext>
            <a:ext uri="{FF2B5EF4-FFF2-40B4-BE49-F238E27FC236}">
              <a16:creationId xmlns:a16="http://schemas.microsoft.com/office/drawing/2014/main" id="{00000000-0008-0000-0200-0000FE000000}"/>
            </a:ext>
          </a:extLst>
        </xdr:cNvPr>
        <xdr:cNvSpPr/>
      </xdr:nvSpPr>
      <xdr:spPr>
        <a:xfrm>
          <a:off x="2847975" y="5581650"/>
          <a:ext cx="161925" cy="171450"/>
        </a:xfrm>
        <a:prstGeom prst="rect">
          <a:avLst/>
        </a:prstGeom>
      </xdr:spPr>
    </xdr:sp>
    <xdr:clientData/>
  </xdr:oneCellAnchor>
  <xdr:oneCellAnchor>
    <xdr:from>
      <xdr:col>2</xdr:col>
      <xdr:colOff>76200</xdr:colOff>
      <xdr:row>16</xdr:row>
      <xdr:rowOff>76200</xdr:rowOff>
    </xdr:from>
    <xdr:ext cx="161925" cy="171450"/>
    <xdr:sp macro="" textlink="">
      <xdr:nvSpPr>
        <xdr:cNvPr id="255" name="CheckBox7" hidden="1">
          <a:extLst>
            <a:ext uri="{63B3BB69-23CF-44E3-9099-C40C66FF867C}">
              <a14:compatExt xmlns:a14="http://schemas.microsoft.com/office/drawing/2010/main" spid="_x0000_s24621"/>
            </a:ext>
            <a:ext uri="{FF2B5EF4-FFF2-40B4-BE49-F238E27FC236}">
              <a16:creationId xmlns:a16="http://schemas.microsoft.com/office/drawing/2014/main" id="{00000000-0008-0000-0200-0000FF000000}"/>
            </a:ext>
          </a:extLst>
        </xdr:cNvPr>
        <xdr:cNvSpPr/>
      </xdr:nvSpPr>
      <xdr:spPr>
        <a:xfrm>
          <a:off x="2924175" y="5010150"/>
          <a:ext cx="161925" cy="171450"/>
        </a:xfrm>
        <a:prstGeom prst="rect">
          <a:avLst/>
        </a:prstGeom>
      </xdr:spPr>
    </xdr:sp>
    <xdr:clientData/>
  </xdr:oneCellAnchor>
  <xdr:oneCellAnchor>
    <xdr:from>
      <xdr:col>2</xdr:col>
      <xdr:colOff>76200</xdr:colOff>
      <xdr:row>17</xdr:row>
      <xdr:rowOff>76200</xdr:rowOff>
    </xdr:from>
    <xdr:ext cx="161925" cy="171450"/>
    <xdr:sp macro="" textlink="">
      <xdr:nvSpPr>
        <xdr:cNvPr id="256" name="CheckBox8" hidden="1">
          <a:extLst>
            <a:ext uri="{63B3BB69-23CF-44E3-9099-C40C66FF867C}">
              <a14:compatExt xmlns:a14="http://schemas.microsoft.com/office/drawing/2010/main" spid="_x0000_s24622"/>
            </a:ext>
            <a:ext uri="{FF2B5EF4-FFF2-40B4-BE49-F238E27FC236}">
              <a16:creationId xmlns:a16="http://schemas.microsoft.com/office/drawing/2014/main" id="{00000000-0008-0000-0200-000000010000}"/>
            </a:ext>
          </a:extLst>
        </xdr:cNvPr>
        <xdr:cNvSpPr/>
      </xdr:nvSpPr>
      <xdr:spPr>
        <a:xfrm>
          <a:off x="2924175" y="5295900"/>
          <a:ext cx="161925" cy="171450"/>
        </a:xfrm>
        <a:prstGeom prst="rect">
          <a:avLst/>
        </a:prstGeom>
      </xdr:spPr>
    </xdr:sp>
    <xdr:clientData/>
  </xdr:oneCellAnchor>
  <xdr:oneCellAnchor>
    <xdr:from>
      <xdr:col>2</xdr:col>
      <xdr:colOff>76200</xdr:colOff>
      <xdr:row>18</xdr:row>
      <xdr:rowOff>76200</xdr:rowOff>
    </xdr:from>
    <xdr:ext cx="161925" cy="171450"/>
    <xdr:sp macro="" textlink="">
      <xdr:nvSpPr>
        <xdr:cNvPr id="257" name="CheckBox9" hidden="1">
          <a:extLst>
            <a:ext uri="{63B3BB69-23CF-44E3-9099-C40C66FF867C}">
              <a14:compatExt xmlns:a14="http://schemas.microsoft.com/office/drawing/2010/main" spid="_x0000_s24623"/>
            </a:ext>
            <a:ext uri="{FF2B5EF4-FFF2-40B4-BE49-F238E27FC236}">
              <a16:creationId xmlns:a16="http://schemas.microsoft.com/office/drawing/2014/main" id="{00000000-0008-0000-0200-000001010000}"/>
            </a:ext>
          </a:extLst>
        </xdr:cNvPr>
        <xdr:cNvSpPr/>
      </xdr:nvSpPr>
      <xdr:spPr>
        <a:xfrm>
          <a:off x="2924175" y="5581650"/>
          <a:ext cx="161925" cy="171450"/>
        </a:xfrm>
        <a:prstGeom prst="rect">
          <a:avLst/>
        </a:prstGeom>
      </xdr:spPr>
    </xdr:sp>
    <xdr:clientData/>
  </xdr:oneCellAnchor>
  <xdr:oneCellAnchor>
    <xdr:from>
      <xdr:col>2</xdr:col>
      <xdr:colOff>76200</xdr:colOff>
      <xdr:row>19</xdr:row>
      <xdr:rowOff>76200</xdr:rowOff>
    </xdr:from>
    <xdr:ext cx="161925" cy="171450"/>
    <xdr:sp macro="" textlink="">
      <xdr:nvSpPr>
        <xdr:cNvPr id="258" name="CheckBox10" hidden="1">
          <a:extLst>
            <a:ext uri="{63B3BB69-23CF-44E3-9099-C40C66FF867C}">
              <a14:compatExt xmlns:a14="http://schemas.microsoft.com/office/drawing/2010/main" spid="_x0000_s24624"/>
            </a:ext>
            <a:ext uri="{FF2B5EF4-FFF2-40B4-BE49-F238E27FC236}">
              <a16:creationId xmlns:a16="http://schemas.microsoft.com/office/drawing/2014/main" id="{00000000-0008-0000-0200-000002010000}"/>
            </a:ext>
          </a:extLst>
        </xdr:cNvPr>
        <xdr:cNvSpPr/>
      </xdr:nvSpPr>
      <xdr:spPr>
        <a:xfrm>
          <a:off x="2924175" y="5867400"/>
          <a:ext cx="161925" cy="171450"/>
        </a:xfrm>
        <a:prstGeom prst="rect">
          <a:avLst/>
        </a:prstGeom>
      </xdr:spPr>
    </xdr:sp>
    <xdr:clientData/>
  </xdr:oneCellAnchor>
  <xdr:oneCellAnchor>
    <xdr:from>
      <xdr:col>2</xdr:col>
      <xdr:colOff>85725</xdr:colOff>
      <xdr:row>21</xdr:row>
      <xdr:rowOff>0</xdr:rowOff>
    </xdr:from>
    <xdr:ext cx="161925" cy="171450"/>
    <xdr:sp macro="" textlink="">
      <xdr:nvSpPr>
        <xdr:cNvPr id="259" name="CheckBox11" hidden="1">
          <a:extLst>
            <a:ext uri="{63B3BB69-23CF-44E3-9099-C40C66FF867C}">
              <a14:compatExt xmlns:a14="http://schemas.microsoft.com/office/drawing/2010/main" spid="_x0000_s24625"/>
            </a:ext>
            <a:ext uri="{FF2B5EF4-FFF2-40B4-BE49-F238E27FC236}">
              <a16:creationId xmlns:a16="http://schemas.microsoft.com/office/drawing/2014/main" id="{00000000-0008-0000-0200-000003010000}"/>
            </a:ext>
          </a:extLst>
        </xdr:cNvPr>
        <xdr:cNvSpPr/>
      </xdr:nvSpPr>
      <xdr:spPr>
        <a:xfrm>
          <a:off x="2933700" y="6438900"/>
          <a:ext cx="161925" cy="171450"/>
        </a:xfrm>
        <a:prstGeom prst="rect">
          <a:avLst/>
        </a:prstGeom>
      </xdr:spPr>
    </xdr:sp>
    <xdr:clientData/>
  </xdr:oneCellAnchor>
  <xdr:oneCellAnchor>
    <xdr:from>
      <xdr:col>2</xdr:col>
      <xdr:colOff>85725</xdr:colOff>
      <xdr:row>15</xdr:row>
      <xdr:rowOff>66675</xdr:rowOff>
    </xdr:from>
    <xdr:ext cx="161925" cy="171450"/>
    <xdr:sp macro="" textlink="">
      <xdr:nvSpPr>
        <xdr:cNvPr id="260" name="CheckBox3" hidden="1">
          <a:extLst>
            <a:ext uri="{63B3BB69-23CF-44E3-9099-C40C66FF867C}">
              <a14:compatExt xmlns:a14="http://schemas.microsoft.com/office/drawing/2010/main" spid="_x0000_s24629"/>
            </a:ext>
            <a:ext uri="{FF2B5EF4-FFF2-40B4-BE49-F238E27FC236}">
              <a16:creationId xmlns:a16="http://schemas.microsoft.com/office/drawing/2014/main" id="{00000000-0008-0000-0200-000004010000}"/>
            </a:ext>
          </a:extLst>
        </xdr:cNvPr>
        <xdr:cNvSpPr/>
      </xdr:nvSpPr>
      <xdr:spPr>
        <a:xfrm>
          <a:off x="2933700" y="4714875"/>
          <a:ext cx="161925" cy="171450"/>
        </a:xfrm>
        <a:prstGeom prst="rect">
          <a:avLst/>
        </a:prstGeom>
      </xdr:spPr>
    </xdr:sp>
    <xdr:clientData/>
  </xdr:oneCellAnchor>
  <xdr:oneCellAnchor>
    <xdr:from>
      <xdr:col>2</xdr:col>
      <xdr:colOff>85725</xdr:colOff>
      <xdr:row>16</xdr:row>
      <xdr:rowOff>66675</xdr:rowOff>
    </xdr:from>
    <xdr:ext cx="161925" cy="171450"/>
    <xdr:sp macro="" textlink="">
      <xdr:nvSpPr>
        <xdr:cNvPr id="261" name="CheckBox4" hidden="1">
          <a:extLst>
            <a:ext uri="{63B3BB69-23CF-44E3-9099-C40C66FF867C}">
              <a14:compatExt xmlns:a14="http://schemas.microsoft.com/office/drawing/2010/main" spid="_x0000_s24630"/>
            </a:ext>
            <a:ext uri="{FF2B5EF4-FFF2-40B4-BE49-F238E27FC236}">
              <a16:creationId xmlns:a16="http://schemas.microsoft.com/office/drawing/2014/main" id="{00000000-0008-0000-0200-000005010000}"/>
            </a:ext>
          </a:extLst>
        </xdr:cNvPr>
        <xdr:cNvSpPr/>
      </xdr:nvSpPr>
      <xdr:spPr>
        <a:xfrm>
          <a:off x="2933700" y="5000625"/>
          <a:ext cx="161925" cy="171450"/>
        </a:xfrm>
        <a:prstGeom prst="rect">
          <a:avLst/>
        </a:prstGeom>
      </xdr:spPr>
    </xdr:sp>
    <xdr:clientData/>
  </xdr:oneCellAnchor>
  <xdr:oneCellAnchor>
    <xdr:from>
      <xdr:col>2</xdr:col>
      <xdr:colOff>85725</xdr:colOff>
      <xdr:row>17</xdr:row>
      <xdr:rowOff>66675</xdr:rowOff>
    </xdr:from>
    <xdr:ext cx="161925" cy="171450"/>
    <xdr:sp macro="" textlink="">
      <xdr:nvSpPr>
        <xdr:cNvPr id="262" name="CheckBox5" hidden="1">
          <a:extLst>
            <a:ext uri="{63B3BB69-23CF-44E3-9099-C40C66FF867C}">
              <a14:compatExt xmlns:a14="http://schemas.microsoft.com/office/drawing/2010/main" spid="_x0000_s24631"/>
            </a:ext>
            <a:ext uri="{FF2B5EF4-FFF2-40B4-BE49-F238E27FC236}">
              <a16:creationId xmlns:a16="http://schemas.microsoft.com/office/drawing/2014/main" id="{00000000-0008-0000-0200-000006010000}"/>
            </a:ext>
          </a:extLst>
        </xdr:cNvPr>
        <xdr:cNvSpPr/>
      </xdr:nvSpPr>
      <xdr:spPr>
        <a:xfrm>
          <a:off x="2933700" y="5286375"/>
          <a:ext cx="161925" cy="171450"/>
        </a:xfrm>
        <a:prstGeom prst="rect">
          <a:avLst/>
        </a:prstGeom>
      </xdr:spPr>
    </xdr:sp>
    <xdr:clientData/>
  </xdr:oneCellAnchor>
  <xdr:oneCellAnchor>
    <xdr:from>
      <xdr:col>2</xdr:col>
      <xdr:colOff>85725</xdr:colOff>
      <xdr:row>18</xdr:row>
      <xdr:rowOff>76200</xdr:rowOff>
    </xdr:from>
    <xdr:ext cx="161925" cy="171450"/>
    <xdr:sp macro="" textlink="">
      <xdr:nvSpPr>
        <xdr:cNvPr id="263" name="CheckBox6" hidden="1">
          <a:extLst>
            <a:ext uri="{63B3BB69-23CF-44E3-9099-C40C66FF867C}">
              <a14:compatExt xmlns:a14="http://schemas.microsoft.com/office/drawing/2010/main" spid="_x0000_s24632"/>
            </a:ext>
            <a:ext uri="{FF2B5EF4-FFF2-40B4-BE49-F238E27FC236}">
              <a16:creationId xmlns:a16="http://schemas.microsoft.com/office/drawing/2014/main" id="{00000000-0008-0000-0200-000007010000}"/>
            </a:ext>
          </a:extLst>
        </xdr:cNvPr>
        <xdr:cNvSpPr/>
      </xdr:nvSpPr>
      <xdr:spPr>
        <a:xfrm>
          <a:off x="2933700" y="5581650"/>
          <a:ext cx="161925" cy="171450"/>
        </a:xfrm>
        <a:prstGeom prst="rect">
          <a:avLst/>
        </a:prstGeom>
      </xdr:spPr>
    </xdr:sp>
    <xdr:clientData/>
  </xdr:oneCellAnchor>
  <xdr:oneCellAnchor>
    <xdr:from>
      <xdr:col>2</xdr:col>
      <xdr:colOff>66675</xdr:colOff>
      <xdr:row>20</xdr:row>
      <xdr:rowOff>76200</xdr:rowOff>
    </xdr:from>
    <xdr:ext cx="161925" cy="171450"/>
    <xdr:sp macro="" textlink="">
      <xdr:nvSpPr>
        <xdr:cNvPr id="264" name="CheckBox2" hidden="1">
          <a:extLst>
            <a:ext uri="{63B3BB69-23CF-44E3-9099-C40C66FF867C}">
              <a14:compatExt xmlns:a14="http://schemas.microsoft.com/office/drawing/2010/main" spid="_x0000_s24634"/>
            </a:ext>
            <a:ext uri="{FF2B5EF4-FFF2-40B4-BE49-F238E27FC236}">
              <a16:creationId xmlns:a16="http://schemas.microsoft.com/office/drawing/2014/main" id="{00000000-0008-0000-0200-000008010000}"/>
            </a:ext>
          </a:extLst>
        </xdr:cNvPr>
        <xdr:cNvSpPr/>
      </xdr:nvSpPr>
      <xdr:spPr>
        <a:xfrm>
          <a:off x="2914650" y="6153150"/>
          <a:ext cx="161925" cy="171450"/>
        </a:xfrm>
        <a:prstGeom prst="rect">
          <a:avLst/>
        </a:prstGeom>
      </xdr:spPr>
    </xdr:sp>
    <xdr:clientData/>
  </xdr:oneCellAnchor>
  <xdr:oneCellAnchor>
    <xdr:from>
      <xdr:col>2</xdr:col>
      <xdr:colOff>85725</xdr:colOff>
      <xdr:row>21</xdr:row>
      <xdr:rowOff>0</xdr:rowOff>
    </xdr:from>
    <xdr:ext cx="161925" cy="171450"/>
    <xdr:sp macro="" textlink="">
      <xdr:nvSpPr>
        <xdr:cNvPr id="265" name="CheckBox5" hidden="1">
          <a:extLst>
            <a:ext uri="{63B3BB69-23CF-44E3-9099-C40C66FF867C}">
              <a14:compatExt xmlns:a14="http://schemas.microsoft.com/office/drawing/2010/main" spid="_x0000_s24637"/>
            </a:ext>
            <a:ext uri="{FF2B5EF4-FFF2-40B4-BE49-F238E27FC236}">
              <a16:creationId xmlns:a16="http://schemas.microsoft.com/office/drawing/2014/main" id="{00000000-0008-0000-0200-000009010000}"/>
            </a:ext>
          </a:extLst>
        </xdr:cNvPr>
        <xdr:cNvSpPr/>
      </xdr:nvSpPr>
      <xdr:spPr>
        <a:xfrm>
          <a:off x="2933700" y="6429375"/>
          <a:ext cx="161925" cy="171450"/>
        </a:xfrm>
        <a:prstGeom prst="rect">
          <a:avLst/>
        </a:prstGeom>
      </xdr:spPr>
    </xdr:sp>
    <xdr:clientData/>
  </xdr:oneCellAnchor>
  <xdr:oneCellAnchor>
    <xdr:from>
      <xdr:col>2</xdr:col>
      <xdr:colOff>76200</xdr:colOff>
      <xdr:row>16</xdr:row>
      <xdr:rowOff>76200</xdr:rowOff>
    </xdr:from>
    <xdr:ext cx="161925" cy="171450"/>
    <xdr:sp macro="" textlink="">
      <xdr:nvSpPr>
        <xdr:cNvPr id="266" name="CheckBox7" hidden="1">
          <a:extLst>
            <a:ext uri="{63B3BB69-23CF-44E3-9099-C40C66FF867C}">
              <a14:compatExt xmlns:a14="http://schemas.microsoft.com/office/drawing/2010/main" spid="_x0000_s24645"/>
            </a:ext>
            <a:ext uri="{FF2B5EF4-FFF2-40B4-BE49-F238E27FC236}">
              <a16:creationId xmlns:a16="http://schemas.microsoft.com/office/drawing/2014/main" id="{00000000-0008-0000-0200-00000A010000}"/>
            </a:ext>
          </a:extLst>
        </xdr:cNvPr>
        <xdr:cNvSpPr/>
      </xdr:nvSpPr>
      <xdr:spPr>
        <a:xfrm>
          <a:off x="2924175" y="5010150"/>
          <a:ext cx="161925" cy="171450"/>
        </a:xfrm>
        <a:prstGeom prst="rect">
          <a:avLst/>
        </a:prstGeom>
      </xdr:spPr>
    </xdr:sp>
    <xdr:clientData/>
  </xdr:oneCellAnchor>
  <xdr:oneCellAnchor>
    <xdr:from>
      <xdr:col>2</xdr:col>
      <xdr:colOff>85725</xdr:colOff>
      <xdr:row>15</xdr:row>
      <xdr:rowOff>66675</xdr:rowOff>
    </xdr:from>
    <xdr:ext cx="161925" cy="171450"/>
    <xdr:sp macro="" textlink="">
      <xdr:nvSpPr>
        <xdr:cNvPr id="267" name="CheckBox3" hidden="1">
          <a:extLst>
            <a:ext uri="{63B3BB69-23CF-44E3-9099-C40C66FF867C}">
              <a14:compatExt xmlns:a14="http://schemas.microsoft.com/office/drawing/2010/main" spid="_x0000_s24648"/>
            </a:ext>
            <a:ext uri="{FF2B5EF4-FFF2-40B4-BE49-F238E27FC236}">
              <a16:creationId xmlns:a16="http://schemas.microsoft.com/office/drawing/2014/main" id="{00000000-0008-0000-0200-00000B010000}"/>
            </a:ext>
          </a:extLst>
        </xdr:cNvPr>
        <xdr:cNvSpPr/>
      </xdr:nvSpPr>
      <xdr:spPr>
        <a:xfrm>
          <a:off x="2933700" y="4714875"/>
          <a:ext cx="161925" cy="171450"/>
        </a:xfrm>
        <a:prstGeom prst="rect">
          <a:avLst/>
        </a:prstGeom>
      </xdr:spPr>
    </xdr:sp>
    <xdr:clientData/>
  </xdr:oneCellAnchor>
  <xdr:oneCellAnchor>
    <xdr:from>
      <xdr:col>2</xdr:col>
      <xdr:colOff>85725</xdr:colOff>
      <xdr:row>16</xdr:row>
      <xdr:rowOff>66675</xdr:rowOff>
    </xdr:from>
    <xdr:ext cx="161925" cy="171450"/>
    <xdr:sp macro="" textlink="">
      <xdr:nvSpPr>
        <xdr:cNvPr id="268" name="CheckBox4" hidden="1">
          <a:extLst>
            <a:ext uri="{63B3BB69-23CF-44E3-9099-C40C66FF867C}">
              <a14:compatExt xmlns:a14="http://schemas.microsoft.com/office/drawing/2010/main" spid="_x0000_s24649"/>
            </a:ext>
            <a:ext uri="{FF2B5EF4-FFF2-40B4-BE49-F238E27FC236}">
              <a16:creationId xmlns:a16="http://schemas.microsoft.com/office/drawing/2014/main" id="{00000000-0008-0000-0200-00000C010000}"/>
            </a:ext>
          </a:extLst>
        </xdr:cNvPr>
        <xdr:cNvSpPr/>
      </xdr:nvSpPr>
      <xdr:spPr>
        <a:xfrm>
          <a:off x="2933700" y="5000625"/>
          <a:ext cx="161925" cy="171450"/>
        </a:xfrm>
        <a:prstGeom prst="rect">
          <a:avLst/>
        </a:prstGeom>
      </xdr:spPr>
    </xdr:sp>
    <xdr:clientData/>
  </xdr:oneCellAnchor>
  <xdr:oneCellAnchor>
    <xdr:from>
      <xdr:col>2</xdr:col>
      <xdr:colOff>76200</xdr:colOff>
      <xdr:row>16</xdr:row>
      <xdr:rowOff>76200</xdr:rowOff>
    </xdr:from>
    <xdr:ext cx="161925" cy="171450"/>
    <xdr:sp macro="" textlink="">
      <xdr:nvSpPr>
        <xdr:cNvPr id="269" name="CheckBox7" hidden="1">
          <a:extLst>
            <a:ext uri="{63B3BB69-23CF-44E3-9099-C40C66FF867C}">
              <a14:compatExt xmlns:a14="http://schemas.microsoft.com/office/drawing/2010/main" spid="_x0000_s24650"/>
            </a:ext>
            <a:ext uri="{FF2B5EF4-FFF2-40B4-BE49-F238E27FC236}">
              <a16:creationId xmlns:a16="http://schemas.microsoft.com/office/drawing/2014/main" id="{00000000-0008-0000-0200-00000D010000}"/>
            </a:ext>
          </a:extLst>
        </xdr:cNvPr>
        <xdr:cNvSpPr/>
      </xdr:nvSpPr>
      <xdr:spPr>
        <a:xfrm>
          <a:off x="2924175" y="5010150"/>
          <a:ext cx="161925" cy="171450"/>
        </a:xfrm>
        <a:prstGeom prst="rect">
          <a:avLst/>
        </a:prstGeom>
      </xdr:spPr>
    </xdr:sp>
    <xdr:clientData/>
  </xdr:oneCellAnchor>
  <xdr:oneCellAnchor>
    <xdr:from>
      <xdr:col>2</xdr:col>
      <xdr:colOff>76200</xdr:colOff>
      <xdr:row>17</xdr:row>
      <xdr:rowOff>76200</xdr:rowOff>
    </xdr:from>
    <xdr:ext cx="161925" cy="171450"/>
    <xdr:sp macro="" textlink="">
      <xdr:nvSpPr>
        <xdr:cNvPr id="270" name="CheckBox8" hidden="1">
          <a:extLst>
            <a:ext uri="{63B3BB69-23CF-44E3-9099-C40C66FF867C}">
              <a14:compatExt xmlns:a14="http://schemas.microsoft.com/office/drawing/2010/main" spid="_x0000_s24651"/>
            </a:ext>
            <a:ext uri="{FF2B5EF4-FFF2-40B4-BE49-F238E27FC236}">
              <a16:creationId xmlns:a16="http://schemas.microsoft.com/office/drawing/2014/main" id="{00000000-0008-0000-0200-00000E010000}"/>
            </a:ext>
          </a:extLst>
        </xdr:cNvPr>
        <xdr:cNvSpPr/>
      </xdr:nvSpPr>
      <xdr:spPr>
        <a:xfrm>
          <a:off x="2924175" y="5295900"/>
          <a:ext cx="161925" cy="171450"/>
        </a:xfrm>
        <a:prstGeom prst="rect">
          <a:avLst/>
        </a:prstGeom>
      </xdr:spPr>
    </xdr:sp>
    <xdr:clientData/>
  </xdr:oneCellAnchor>
  <xdr:oneCellAnchor>
    <xdr:from>
      <xdr:col>2</xdr:col>
      <xdr:colOff>76200</xdr:colOff>
      <xdr:row>18</xdr:row>
      <xdr:rowOff>76200</xdr:rowOff>
    </xdr:from>
    <xdr:ext cx="161925" cy="171450"/>
    <xdr:sp macro="" textlink="">
      <xdr:nvSpPr>
        <xdr:cNvPr id="271" name="CheckBox9" hidden="1">
          <a:extLst>
            <a:ext uri="{63B3BB69-23CF-44E3-9099-C40C66FF867C}">
              <a14:compatExt xmlns:a14="http://schemas.microsoft.com/office/drawing/2010/main" spid="_x0000_s24652"/>
            </a:ext>
            <a:ext uri="{FF2B5EF4-FFF2-40B4-BE49-F238E27FC236}">
              <a16:creationId xmlns:a16="http://schemas.microsoft.com/office/drawing/2014/main" id="{00000000-0008-0000-0200-00000F010000}"/>
            </a:ext>
          </a:extLst>
        </xdr:cNvPr>
        <xdr:cNvSpPr/>
      </xdr:nvSpPr>
      <xdr:spPr>
        <a:xfrm>
          <a:off x="2924175" y="5581650"/>
          <a:ext cx="161925" cy="171450"/>
        </a:xfrm>
        <a:prstGeom prst="rect">
          <a:avLst/>
        </a:prstGeom>
      </xdr:spPr>
    </xdr:sp>
    <xdr:clientData/>
  </xdr:oneCellAnchor>
  <xdr:oneCellAnchor>
    <xdr:from>
      <xdr:col>2</xdr:col>
      <xdr:colOff>85725</xdr:colOff>
      <xdr:row>16</xdr:row>
      <xdr:rowOff>66675</xdr:rowOff>
    </xdr:from>
    <xdr:ext cx="161925" cy="171450"/>
    <xdr:sp macro="" textlink="">
      <xdr:nvSpPr>
        <xdr:cNvPr id="272" name="CheckBox4" hidden="1">
          <a:extLst>
            <a:ext uri="{63B3BB69-23CF-44E3-9099-C40C66FF867C}">
              <a14:compatExt xmlns:a14="http://schemas.microsoft.com/office/drawing/2010/main" spid="_x0000_s24653"/>
            </a:ext>
            <a:ext uri="{FF2B5EF4-FFF2-40B4-BE49-F238E27FC236}">
              <a16:creationId xmlns:a16="http://schemas.microsoft.com/office/drawing/2014/main" id="{00000000-0008-0000-0200-000010010000}"/>
            </a:ext>
          </a:extLst>
        </xdr:cNvPr>
        <xdr:cNvSpPr/>
      </xdr:nvSpPr>
      <xdr:spPr>
        <a:xfrm>
          <a:off x="2933700" y="5000625"/>
          <a:ext cx="161925" cy="171450"/>
        </a:xfrm>
        <a:prstGeom prst="rect">
          <a:avLst/>
        </a:prstGeom>
      </xdr:spPr>
    </xdr:sp>
    <xdr:clientData/>
  </xdr:oneCellAnchor>
  <xdr:oneCellAnchor>
    <xdr:from>
      <xdr:col>2</xdr:col>
      <xdr:colOff>85725</xdr:colOff>
      <xdr:row>17</xdr:row>
      <xdr:rowOff>66675</xdr:rowOff>
    </xdr:from>
    <xdr:ext cx="161925" cy="171450"/>
    <xdr:sp macro="" textlink="">
      <xdr:nvSpPr>
        <xdr:cNvPr id="273" name="CheckBox5" hidden="1">
          <a:extLst>
            <a:ext uri="{63B3BB69-23CF-44E3-9099-C40C66FF867C}">
              <a14:compatExt xmlns:a14="http://schemas.microsoft.com/office/drawing/2010/main" spid="_x0000_s24654"/>
            </a:ext>
            <a:ext uri="{FF2B5EF4-FFF2-40B4-BE49-F238E27FC236}">
              <a16:creationId xmlns:a16="http://schemas.microsoft.com/office/drawing/2014/main" id="{00000000-0008-0000-0200-000011010000}"/>
            </a:ext>
          </a:extLst>
        </xdr:cNvPr>
        <xdr:cNvSpPr/>
      </xdr:nvSpPr>
      <xdr:spPr>
        <a:xfrm>
          <a:off x="2933700" y="5286375"/>
          <a:ext cx="161925" cy="171450"/>
        </a:xfrm>
        <a:prstGeom prst="rect">
          <a:avLst/>
        </a:prstGeom>
      </xdr:spPr>
    </xdr:sp>
    <xdr:clientData/>
  </xdr:oneCellAnchor>
  <xdr:oneCellAnchor>
    <xdr:from>
      <xdr:col>2</xdr:col>
      <xdr:colOff>85725</xdr:colOff>
      <xdr:row>18</xdr:row>
      <xdr:rowOff>76200</xdr:rowOff>
    </xdr:from>
    <xdr:ext cx="161925" cy="171450"/>
    <xdr:sp macro="" textlink="">
      <xdr:nvSpPr>
        <xdr:cNvPr id="274" name="CheckBox6" hidden="1">
          <a:extLst>
            <a:ext uri="{63B3BB69-23CF-44E3-9099-C40C66FF867C}">
              <a14:compatExt xmlns:a14="http://schemas.microsoft.com/office/drawing/2010/main" spid="_x0000_s24655"/>
            </a:ext>
            <a:ext uri="{FF2B5EF4-FFF2-40B4-BE49-F238E27FC236}">
              <a16:creationId xmlns:a16="http://schemas.microsoft.com/office/drawing/2014/main" id="{00000000-0008-0000-0200-000012010000}"/>
            </a:ext>
          </a:extLst>
        </xdr:cNvPr>
        <xdr:cNvSpPr/>
      </xdr:nvSpPr>
      <xdr:spPr>
        <a:xfrm>
          <a:off x="2933700" y="5581650"/>
          <a:ext cx="161925" cy="171450"/>
        </a:xfrm>
        <a:prstGeom prst="rect">
          <a:avLst/>
        </a:prstGeom>
      </xdr:spPr>
    </xdr:sp>
    <xdr:clientData/>
  </xdr:oneCellAnchor>
  <xdr:oneCellAnchor>
    <xdr:from>
      <xdr:col>2</xdr:col>
      <xdr:colOff>0</xdr:colOff>
      <xdr:row>17</xdr:row>
      <xdr:rowOff>76200</xdr:rowOff>
    </xdr:from>
    <xdr:ext cx="161925" cy="171450"/>
    <xdr:sp macro="" textlink="">
      <xdr:nvSpPr>
        <xdr:cNvPr id="282" name="CheckBox7" hidden="1">
          <a:extLst>
            <a:ext uri="{63B3BB69-23CF-44E3-9099-C40C66FF867C}">
              <a14:compatExt xmlns:a14="http://schemas.microsoft.com/office/drawing/2010/main" spid="_x0000_s24621"/>
            </a:ext>
            <a:ext uri="{FF2B5EF4-FFF2-40B4-BE49-F238E27FC236}">
              <a16:creationId xmlns:a16="http://schemas.microsoft.com/office/drawing/2014/main" id="{00000000-0008-0000-0200-00001A010000}"/>
            </a:ext>
          </a:extLst>
        </xdr:cNvPr>
        <xdr:cNvSpPr/>
      </xdr:nvSpPr>
      <xdr:spPr>
        <a:xfrm>
          <a:off x="2847975" y="5295900"/>
          <a:ext cx="161925" cy="171450"/>
        </a:xfrm>
        <a:prstGeom prst="rect">
          <a:avLst/>
        </a:prstGeom>
      </xdr:spPr>
    </xdr:sp>
    <xdr:clientData/>
  </xdr:oneCellAnchor>
  <xdr:oneCellAnchor>
    <xdr:from>
      <xdr:col>2</xdr:col>
      <xdr:colOff>0</xdr:colOff>
      <xdr:row>18</xdr:row>
      <xdr:rowOff>76200</xdr:rowOff>
    </xdr:from>
    <xdr:ext cx="161925" cy="171450"/>
    <xdr:sp macro="" textlink="">
      <xdr:nvSpPr>
        <xdr:cNvPr id="283" name="CheckBox8" hidden="1">
          <a:extLst>
            <a:ext uri="{63B3BB69-23CF-44E3-9099-C40C66FF867C}">
              <a14:compatExt xmlns:a14="http://schemas.microsoft.com/office/drawing/2010/main" spid="_x0000_s24622"/>
            </a:ext>
            <a:ext uri="{FF2B5EF4-FFF2-40B4-BE49-F238E27FC236}">
              <a16:creationId xmlns:a16="http://schemas.microsoft.com/office/drawing/2014/main" id="{00000000-0008-0000-0200-00001B010000}"/>
            </a:ext>
          </a:extLst>
        </xdr:cNvPr>
        <xdr:cNvSpPr/>
      </xdr:nvSpPr>
      <xdr:spPr>
        <a:xfrm>
          <a:off x="2847975" y="5581650"/>
          <a:ext cx="161925" cy="171450"/>
        </a:xfrm>
        <a:prstGeom prst="rect">
          <a:avLst/>
        </a:prstGeom>
      </xdr:spPr>
    </xdr:sp>
    <xdr:clientData/>
  </xdr:oneCellAnchor>
  <xdr:oneCellAnchor>
    <xdr:from>
      <xdr:col>2</xdr:col>
      <xdr:colOff>0</xdr:colOff>
      <xdr:row>19</xdr:row>
      <xdr:rowOff>76200</xdr:rowOff>
    </xdr:from>
    <xdr:ext cx="161925" cy="171450"/>
    <xdr:sp macro="" textlink="">
      <xdr:nvSpPr>
        <xdr:cNvPr id="284" name="CheckBox9" hidden="1">
          <a:extLst>
            <a:ext uri="{63B3BB69-23CF-44E3-9099-C40C66FF867C}">
              <a14:compatExt xmlns:a14="http://schemas.microsoft.com/office/drawing/2010/main" spid="_x0000_s24623"/>
            </a:ext>
            <a:ext uri="{FF2B5EF4-FFF2-40B4-BE49-F238E27FC236}">
              <a16:creationId xmlns:a16="http://schemas.microsoft.com/office/drawing/2014/main" id="{00000000-0008-0000-0200-00001C010000}"/>
            </a:ext>
          </a:extLst>
        </xdr:cNvPr>
        <xdr:cNvSpPr/>
      </xdr:nvSpPr>
      <xdr:spPr>
        <a:xfrm>
          <a:off x="2847975" y="5867400"/>
          <a:ext cx="161925" cy="171450"/>
        </a:xfrm>
        <a:prstGeom prst="rect">
          <a:avLst/>
        </a:prstGeom>
      </xdr:spPr>
    </xdr:sp>
    <xdr:clientData/>
  </xdr:oneCellAnchor>
  <xdr:oneCellAnchor>
    <xdr:from>
      <xdr:col>2</xdr:col>
      <xdr:colOff>0</xdr:colOff>
      <xdr:row>20</xdr:row>
      <xdr:rowOff>76200</xdr:rowOff>
    </xdr:from>
    <xdr:ext cx="161925" cy="171450"/>
    <xdr:sp macro="" textlink="">
      <xdr:nvSpPr>
        <xdr:cNvPr id="285" name="CheckBox10" hidden="1">
          <a:extLst>
            <a:ext uri="{63B3BB69-23CF-44E3-9099-C40C66FF867C}">
              <a14:compatExt xmlns:a14="http://schemas.microsoft.com/office/drawing/2010/main" spid="_x0000_s24624"/>
            </a:ext>
            <a:ext uri="{FF2B5EF4-FFF2-40B4-BE49-F238E27FC236}">
              <a16:creationId xmlns:a16="http://schemas.microsoft.com/office/drawing/2014/main" id="{00000000-0008-0000-0200-00001D010000}"/>
            </a:ext>
          </a:extLst>
        </xdr:cNvPr>
        <xdr:cNvSpPr/>
      </xdr:nvSpPr>
      <xdr:spPr>
        <a:xfrm>
          <a:off x="2847975" y="6153150"/>
          <a:ext cx="161925" cy="171450"/>
        </a:xfrm>
        <a:prstGeom prst="rect">
          <a:avLst/>
        </a:prstGeom>
      </xdr:spPr>
    </xdr:sp>
    <xdr:clientData/>
  </xdr:oneCellAnchor>
  <xdr:oneCellAnchor>
    <xdr:from>
      <xdr:col>2</xdr:col>
      <xdr:colOff>0</xdr:colOff>
      <xdr:row>17</xdr:row>
      <xdr:rowOff>66675</xdr:rowOff>
    </xdr:from>
    <xdr:ext cx="161925" cy="171450"/>
    <xdr:sp macro="" textlink="">
      <xdr:nvSpPr>
        <xdr:cNvPr id="286" name="CheckBox4" hidden="1">
          <a:extLst>
            <a:ext uri="{63B3BB69-23CF-44E3-9099-C40C66FF867C}">
              <a14:compatExt xmlns:a14="http://schemas.microsoft.com/office/drawing/2010/main" spid="_x0000_s24630"/>
            </a:ext>
            <a:ext uri="{FF2B5EF4-FFF2-40B4-BE49-F238E27FC236}">
              <a16:creationId xmlns:a16="http://schemas.microsoft.com/office/drawing/2014/main" id="{00000000-0008-0000-0200-00001E010000}"/>
            </a:ext>
          </a:extLst>
        </xdr:cNvPr>
        <xdr:cNvSpPr/>
      </xdr:nvSpPr>
      <xdr:spPr>
        <a:xfrm>
          <a:off x="2847975" y="5286375"/>
          <a:ext cx="161925" cy="171450"/>
        </a:xfrm>
        <a:prstGeom prst="rect">
          <a:avLst/>
        </a:prstGeom>
      </xdr:spPr>
    </xdr:sp>
    <xdr:clientData/>
  </xdr:oneCellAnchor>
  <xdr:oneCellAnchor>
    <xdr:from>
      <xdr:col>2</xdr:col>
      <xdr:colOff>0</xdr:colOff>
      <xdr:row>18</xdr:row>
      <xdr:rowOff>66675</xdr:rowOff>
    </xdr:from>
    <xdr:ext cx="161925" cy="171450"/>
    <xdr:sp macro="" textlink="">
      <xdr:nvSpPr>
        <xdr:cNvPr id="287" name="CheckBox5" hidden="1">
          <a:extLst>
            <a:ext uri="{63B3BB69-23CF-44E3-9099-C40C66FF867C}">
              <a14:compatExt xmlns:a14="http://schemas.microsoft.com/office/drawing/2010/main" spid="_x0000_s24631"/>
            </a:ext>
            <a:ext uri="{FF2B5EF4-FFF2-40B4-BE49-F238E27FC236}">
              <a16:creationId xmlns:a16="http://schemas.microsoft.com/office/drawing/2014/main" id="{00000000-0008-0000-0200-00001F010000}"/>
            </a:ext>
          </a:extLst>
        </xdr:cNvPr>
        <xdr:cNvSpPr/>
      </xdr:nvSpPr>
      <xdr:spPr>
        <a:xfrm>
          <a:off x="2847975" y="5572125"/>
          <a:ext cx="161925" cy="171450"/>
        </a:xfrm>
        <a:prstGeom prst="rect">
          <a:avLst/>
        </a:prstGeom>
      </xdr:spPr>
    </xdr:sp>
    <xdr:clientData/>
  </xdr:oneCellAnchor>
  <xdr:oneCellAnchor>
    <xdr:from>
      <xdr:col>2</xdr:col>
      <xdr:colOff>0</xdr:colOff>
      <xdr:row>19</xdr:row>
      <xdr:rowOff>76200</xdr:rowOff>
    </xdr:from>
    <xdr:ext cx="161925" cy="171450"/>
    <xdr:sp macro="" textlink="">
      <xdr:nvSpPr>
        <xdr:cNvPr id="288" name="CheckBox6" hidden="1">
          <a:extLst>
            <a:ext uri="{63B3BB69-23CF-44E3-9099-C40C66FF867C}">
              <a14:compatExt xmlns:a14="http://schemas.microsoft.com/office/drawing/2010/main" spid="_x0000_s24632"/>
            </a:ext>
            <a:ext uri="{FF2B5EF4-FFF2-40B4-BE49-F238E27FC236}">
              <a16:creationId xmlns:a16="http://schemas.microsoft.com/office/drawing/2014/main" id="{00000000-0008-0000-0200-000020010000}"/>
            </a:ext>
          </a:extLst>
        </xdr:cNvPr>
        <xdr:cNvSpPr/>
      </xdr:nvSpPr>
      <xdr:spPr>
        <a:xfrm>
          <a:off x="2847975" y="5867400"/>
          <a:ext cx="161925" cy="171450"/>
        </a:xfrm>
        <a:prstGeom prst="rect">
          <a:avLst/>
        </a:prstGeom>
      </xdr:spPr>
    </xdr:sp>
    <xdr:clientData/>
  </xdr:oneCellAnchor>
  <xdr:oneCellAnchor>
    <xdr:from>
      <xdr:col>2</xdr:col>
      <xdr:colOff>0</xdr:colOff>
      <xdr:row>21</xdr:row>
      <xdr:rowOff>0</xdr:rowOff>
    </xdr:from>
    <xdr:ext cx="161925" cy="171450"/>
    <xdr:sp macro="" textlink="">
      <xdr:nvSpPr>
        <xdr:cNvPr id="289" name="CheckBox2" hidden="1">
          <a:extLst>
            <a:ext uri="{63B3BB69-23CF-44E3-9099-C40C66FF867C}">
              <a14:compatExt xmlns:a14="http://schemas.microsoft.com/office/drawing/2010/main" spid="_x0000_s24634"/>
            </a:ext>
            <a:ext uri="{FF2B5EF4-FFF2-40B4-BE49-F238E27FC236}">
              <a16:creationId xmlns:a16="http://schemas.microsoft.com/office/drawing/2014/main" id="{00000000-0008-0000-0200-000021010000}"/>
            </a:ext>
          </a:extLst>
        </xdr:cNvPr>
        <xdr:cNvSpPr/>
      </xdr:nvSpPr>
      <xdr:spPr>
        <a:xfrm>
          <a:off x="2847975" y="6438900"/>
          <a:ext cx="161925" cy="171450"/>
        </a:xfrm>
        <a:prstGeom prst="rect">
          <a:avLst/>
        </a:prstGeom>
      </xdr:spPr>
    </xdr:sp>
    <xdr:clientData/>
  </xdr:oneCellAnchor>
  <xdr:oneCellAnchor>
    <xdr:from>
      <xdr:col>2</xdr:col>
      <xdr:colOff>0</xdr:colOff>
      <xdr:row>17</xdr:row>
      <xdr:rowOff>76200</xdr:rowOff>
    </xdr:from>
    <xdr:ext cx="161925" cy="171450"/>
    <xdr:sp macro="" textlink="">
      <xdr:nvSpPr>
        <xdr:cNvPr id="290" name="CheckBox7" hidden="1">
          <a:extLst>
            <a:ext uri="{63B3BB69-23CF-44E3-9099-C40C66FF867C}">
              <a14:compatExt xmlns:a14="http://schemas.microsoft.com/office/drawing/2010/main" spid="_x0000_s24645"/>
            </a:ext>
            <a:ext uri="{FF2B5EF4-FFF2-40B4-BE49-F238E27FC236}">
              <a16:creationId xmlns:a16="http://schemas.microsoft.com/office/drawing/2014/main" id="{00000000-0008-0000-0200-000022010000}"/>
            </a:ext>
          </a:extLst>
        </xdr:cNvPr>
        <xdr:cNvSpPr/>
      </xdr:nvSpPr>
      <xdr:spPr>
        <a:xfrm>
          <a:off x="2847975" y="5295900"/>
          <a:ext cx="161925" cy="171450"/>
        </a:xfrm>
        <a:prstGeom prst="rect">
          <a:avLst/>
        </a:prstGeom>
      </xdr:spPr>
    </xdr:sp>
    <xdr:clientData/>
  </xdr:oneCellAnchor>
  <xdr:oneCellAnchor>
    <xdr:from>
      <xdr:col>2</xdr:col>
      <xdr:colOff>0</xdr:colOff>
      <xdr:row>17</xdr:row>
      <xdr:rowOff>66675</xdr:rowOff>
    </xdr:from>
    <xdr:ext cx="161925" cy="171450"/>
    <xdr:sp macro="" textlink="">
      <xdr:nvSpPr>
        <xdr:cNvPr id="291" name="CheckBox4" hidden="1">
          <a:extLst>
            <a:ext uri="{63B3BB69-23CF-44E3-9099-C40C66FF867C}">
              <a14:compatExt xmlns:a14="http://schemas.microsoft.com/office/drawing/2010/main" spid="_x0000_s24649"/>
            </a:ext>
            <a:ext uri="{FF2B5EF4-FFF2-40B4-BE49-F238E27FC236}">
              <a16:creationId xmlns:a16="http://schemas.microsoft.com/office/drawing/2014/main" id="{00000000-0008-0000-0200-000023010000}"/>
            </a:ext>
          </a:extLst>
        </xdr:cNvPr>
        <xdr:cNvSpPr/>
      </xdr:nvSpPr>
      <xdr:spPr>
        <a:xfrm>
          <a:off x="2847975" y="5286375"/>
          <a:ext cx="161925" cy="171450"/>
        </a:xfrm>
        <a:prstGeom prst="rect">
          <a:avLst/>
        </a:prstGeom>
      </xdr:spPr>
    </xdr:sp>
    <xdr:clientData/>
  </xdr:oneCellAnchor>
  <xdr:oneCellAnchor>
    <xdr:from>
      <xdr:col>2</xdr:col>
      <xdr:colOff>0</xdr:colOff>
      <xdr:row>17</xdr:row>
      <xdr:rowOff>76200</xdr:rowOff>
    </xdr:from>
    <xdr:ext cx="161925" cy="171450"/>
    <xdr:sp macro="" textlink="">
      <xdr:nvSpPr>
        <xdr:cNvPr id="292" name="CheckBox7" hidden="1">
          <a:extLst>
            <a:ext uri="{63B3BB69-23CF-44E3-9099-C40C66FF867C}">
              <a14:compatExt xmlns:a14="http://schemas.microsoft.com/office/drawing/2010/main" spid="_x0000_s24650"/>
            </a:ext>
            <a:ext uri="{FF2B5EF4-FFF2-40B4-BE49-F238E27FC236}">
              <a16:creationId xmlns:a16="http://schemas.microsoft.com/office/drawing/2014/main" id="{00000000-0008-0000-0200-000024010000}"/>
            </a:ext>
          </a:extLst>
        </xdr:cNvPr>
        <xdr:cNvSpPr/>
      </xdr:nvSpPr>
      <xdr:spPr>
        <a:xfrm>
          <a:off x="2847975" y="5295900"/>
          <a:ext cx="161925" cy="171450"/>
        </a:xfrm>
        <a:prstGeom prst="rect">
          <a:avLst/>
        </a:prstGeom>
      </xdr:spPr>
    </xdr:sp>
    <xdr:clientData/>
  </xdr:oneCellAnchor>
  <xdr:oneCellAnchor>
    <xdr:from>
      <xdr:col>2</xdr:col>
      <xdr:colOff>0</xdr:colOff>
      <xdr:row>18</xdr:row>
      <xdr:rowOff>76200</xdr:rowOff>
    </xdr:from>
    <xdr:ext cx="161925" cy="171450"/>
    <xdr:sp macro="" textlink="">
      <xdr:nvSpPr>
        <xdr:cNvPr id="293" name="CheckBox8" hidden="1">
          <a:extLst>
            <a:ext uri="{63B3BB69-23CF-44E3-9099-C40C66FF867C}">
              <a14:compatExt xmlns:a14="http://schemas.microsoft.com/office/drawing/2010/main" spid="_x0000_s24651"/>
            </a:ext>
            <a:ext uri="{FF2B5EF4-FFF2-40B4-BE49-F238E27FC236}">
              <a16:creationId xmlns:a16="http://schemas.microsoft.com/office/drawing/2014/main" id="{00000000-0008-0000-0200-000025010000}"/>
            </a:ext>
          </a:extLst>
        </xdr:cNvPr>
        <xdr:cNvSpPr/>
      </xdr:nvSpPr>
      <xdr:spPr>
        <a:xfrm>
          <a:off x="2847975" y="5581650"/>
          <a:ext cx="161925" cy="171450"/>
        </a:xfrm>
        <a:prstGeom prst="rect">
          <a:avLst/>
        </a:prstGeom>
      </xdr:spPr>
    </xdr:sp>
    <xdr:clientData/>
  </xdr:oneCellAnchor>
  <xdr:oneCellAnchor>
    <xdr:from>
      <xdr:col>2</xdr:col>
      <xdr:colOff>0</xdr:colOff>
      <xdr:row>19</xdr:row>
      <xdr:rowOff>76200</xdr:rowOff>
    </xdr:from>
    <xdr:ext cx="161925" cy="171450"/>
    <xdr:sp macro="" textlink="">
      <xdr:nvSpPr>
        <xdr:cNvPr id="294" name="CheckBox9" hidden="1">
          <a:extLst>
            <a:ext uri="{63B3BB69-23CF-44E3-9099-C40C66FF867C}">
              <a14:compatExt xmlns:a14="http://schemas.microsoft.com/office/drawing/2010/main" spid="_x0000_s24652"/>
            </a:ext>
            <a:ext uri="{FF2B5EF4-FFF2-40B4-BE49-F238E27FC236}">
              <a16:creationId xmlns:a16="http://schemas.microsoft.com/office/drawing/2014/main" id="{00000000-0008-0000-0200-000026010000}"/>
            </a:ext>
          </a:extLst>
        </xdr:cNvPr>
        <xdr:cNvSpPr/>
      </xdr:nvSpPr>
      <xdr:spPr>
        <a:xfrm>
          <a:off x="2847975" y="5867400"/>
          <a:ext cx="161925" cy="171450"/>
        </a:xfrm>
        <a:prstGeom prst="rect">
          <a:avLst/>
        </a:prstGeom>
      </xdr:spPr>
    </xdr:sp>
    <xdr:clientData/>
  </xdr:oneCellAnchor>
  <xdr:oneCellAnchor>
    <xdr:from>
      <xdr:col>2</xdr:col>
      <xdr:colOff>0</xdr:colOff>
      <xdr:row>17</xdr:row>
      <xdr:rowOff>66675</xdr:rowOff>
    </xdr:from>
    <xdr:ext cx="161925" cy="171450"/>
    <xdr:sp macro="" textlink="">
      <xdr:nvSpPr>
        <xdr:cNvPr id="295" name="CheckBox4" hidden="1">
          <a:extLst>
            <a:ext uri="{63B3BB69-23CF-44E3-9099-C40C66FF867C}">
              <a14:compatExt xmlns:a14="http://schemas.microsoft.com/office/drawing/2010/main" spid="_x0000_s24653"/>
            </a:ext>
            <a:ext uri="{FF2B5EF4-FFF2-40B4-BE49-F238E27FC236}">
              <a16:creationId xmlns:a16="http://schemas.microsoft.com/office/drawing/2014/main" id="{00000000-0008-0000-0200-000027010000}"/>
            </a:ext>
          </a:extLst>
        </xdr:cNvPr>
        <xdr:cNvSpPr/>
      </xdr:nvSpPr>
      <xdr:spPr>
        <a:xfrm>
          <a:off x="2847975" y="5286375"/>
          <a:ext cx="161925" cy="171450"/>
        </a:xfrm>
        <a:prstGeom prst="rect">
          <a:avLst/>
        </a:prstGeom>
      </xdr:spPr>
    </xdr:sp>
    <xdr:clientData/>
  </xdr:oneCellAnchor>
  <xdr:oneCellAnchor>
    <xdr:from>
      <xdr:col>2</xdr:col>
      <xdr:colOff>0</xdr:colOff>
      <xdr:row>18</xdr:row>
      <xdr:rowOff>66675</xdr:rowOff>
    </xdr:from>
    <xdr:ext cx="161925" cy="171450"/>
    <xdr:sp macro="" textlink="">
      <xdr:nvSpPr>
        <xdr:cNvPr id="296" name="CheckBox5" hidden="1">
          <a:extLst>
            <a:ext uri="{63B3BB69-23CF-44E3-9099-C40C66FF867C}">
              <a14:compatExt xmlns:a14="http://schemas.microsoft.com/office/drawing/2010/main" spid="_x0000_s24654"/>
            </a:ext>
            <a:ext uri="{FF2B5EF4-FFF2-40B4-BE49-F238E27FC236}">
              <a16:creationId xmlns:a16="http://schemas.microsoft.com/office/drawing/2014/main" id="{00000000-0008-0000-0200-000028010000}"/>
            </a:ext>
          </a:extLst>
        </xdr:cNvPr>
        <xdr:cNvSpPr/>
      </xdr:nvSpPr>
      <xdr:spPr>
        <a:xfrm>
          <a:off x="2847975" y="5572125"/>
          <a:ext cx="161925" cy="171450"/>
        </a:xfrm>
        <a:prstGeom prst="rect">
          <a:avLst/>
        </a:prstGeom>
      </xdr:spPr>
    </xdr:sp>
    <xdr:clientData/>
  </xdr:oneCellAnchor>
  <xdr:oneCellAnchor>
    <xdr:from>
      <xdr:col>2</xdr:col>
      <xdr:colOff>0</xdr:colOff>
      <xdr:row>19</xdr:row>
      <xdr:rowOff>76200</xdr:rowOff>
    </xdr:from>
    <xdr:ext cx="161925" cy="171450"/>
    <xdr:sp macro="" textlink="">
      <xdr:nvSpPr>
        <xdr:cNvPr id="297" name="CheckBox6" hidden="1">
          <a:extLst>
            <a:ext uri="{63B3BB69-23CF-44E3-9099-C40C66FF867C}">
              <a14:compatExt xmlns:a14="http://schemas.microsoft.com/office/drawing/2010/main" spid="_x0000_s24655"/>
            </a:ext>
            <a:ext uri="{FF2B5EF4-FFF2-40B4-BE49-F238E27FC236}">
              <a16:creationId xmlns:a16="http://schemas.microsoft.com/office/drawing/2014/main" id="{00000000-0008-0000-0200-000029010000}"/>
            </a:ext>
          </a:extLst>
        </xdr:cNvPr>
        <xdr:cNvSpPr/>
      </xdr:nvSpPr>
      <xdr:spPr>
        <a:xfrm>
          <a:off x="2847975" y="5867400"/>
          <a:ext cx="161925" cy="171450"/>
        </a:xfrm>
        <a:prstGeom prst="rect">
          <a:avLst/>
        </a:prstGeom>
      </xdr:spPr>
    </xdr:sp>
    <xdr:clientData/>
  </xdr:oneCellAnchor>
  <xdr:oneCellAnchor>
    <xdr:from>
      <xdr:col>2</xdr:col>
      <xdr:colOff>76200</xdr:colOff>
      <xdr:row>17</xdr:row>
      <xdr:rowOff>76200</xdr:rowOff>
    </xdr:from>
    <xdr:ext cx="161925" cy="171450"/>
    <xdr:sp macro="" textlink="">
      <xdr:nvSpPr>
        <xdr:cNvPr id="298" name="CheckBox7" hidden="1">
          <a:extLst>
            <a:ext uri="{63B3BB69-23CF-44E3-9099-C40C66FF867C}">
              <a14:compatExt xmlns:a14="http://schemas.microsoft.com/office/drawing/2010/main" spid="_x0000_s24621"/>
            </a:ext>
            <a:ext uri="{FF2B5EF4-FFF2-40B4-BE49-F238E27FC236}">
              <a16:creationId xmlns:a16="http://schemas.microsoft.com/office/drawing/2014/main" id="{00000000-0008-0000-0200-00002A010000}"/>
            </a:ext>
          </a:extLst>
        </xdr:cNvPr>
        <xdr:cNvSpPr/>
      </xdr:nvSpPr>
      <xdr:spPr>
        <a:xfrm>
          <a:off x="2924175" y="5295900"/>
          <a:ext cx="161925" cy="171450"/>
        </a:xfrm>
        <a:prstGeom prst="rect">
          <a:avLst/>
        </a:prstGeom>
      </xdr:spPr>
    </xdr:sp>
    <xdr:clientData/>
  </xdr:oneCellAnchor>
  <xdr:oneCellAnchor>
    <xdr:from>
      <xdr:col>2</xdr:col>
      <xdr:colOff>76200</xdr:colOff>
      <xdr:row>18</xdr:row>
      <xdr:rowOff>76200</xdr:rowOff>
    </xdr:from>
    <xdr:ext cx="161925" cy="171450"/>
    <xdr:sp macro="" textlink="">
      <xdr:nvSpPr>
        <xdr:cNvPr id="299" name="CheckBox8" hidden="1">
          <a:extLst>
            <a:ext uri="{63B3BB69-23CF-44E3-9099-C40C66FF867C}">
              <a14:compatExt xmlns:a14="http://schemas.microsoft.com/office/drawing/2010/main" spid="_x0000_s24622"/>
            </a:ext>
            <a:ext uri="{FF2B5EF4-FFF2-40B4-BE49-F238E27FC236}">
              <a16:creationId xmlns:a16="http://schemas.microsoft.com/office/drawing/2014/main" id="{00000000-0008-0000-0200-00002B010000}"/>
            </a:ext>
          </a:extLst>
        </xdr:cNvPr>
        <xdr:cNvSpPr/>
      </xdr:nvSpPr>
      <xdr:spPr>
        <a:xfrm>
          <a:off x="2924175" y="5581650"/>
          <a:ext cx="161925" cy="171450"/>
        </a:xfrm>
        <a:prstGeom prst="rect">
          <a:avLst/>
        </a:prstGeom>
      </xdr:spPr>
    </xdr:sp>
    <xdr:clientData/>
  </xdr:oneCellAnchor>
  <xdr:oneCellAnchor>
    <xdr:from>
      <xdr:col>2</xdr:col>
      <xdr:colOff>76200</xdr:colOff>
      <xdr:row>19</xdr:row>
      <xdr:rowOff>76200</xdr:rowOff>
    </xdr:from>
    <xdr:ext cx="161925" cy="171450"/>
    <xdr:sp macro="" textlink="">
      <xdr:nvSpPr>
        <xdr:cNvPr id="300" name="CheckBox9" hidden="1">
          <a:extLst>
            <a:ext uri="{63B3BB69-23CF-44E3-9099-C40C66FF867C}">
              <a14:compatExt xmlns:a14="http://schemas.microsoft.com/office/drawing/2010/main" spid="_x0000_s24623"/>
            </a:ext>
            <a:ext uri="{FF2B5EF4-FFF2-40B4-BE49-F238E27FC236}">
              <a16:creationId xmlns:a16="http://schemas.microsoft.com/office/drawing/2014/main" id="{00000000-0008-0000-0200-00002C010000}"/>
            </a:ext>
          </a:extLst>
        </xdr:cNvPr>
        <xdr:cNvSpPr/>
      </xdr:nvSpPr>
      <xdr:spPr>
        <a:xfrm>
          <a:off x="2924175" y="5867400"/>
          <a:ext cx="161925" cy="171450"/>
        </a:xfrm>
        <a:prstGeom prst="rect">
          <a:avLst/>
        </a:prstGeom>
      </xdr:spPr>
    </xdr:sp>
    <xdr:clientData/>
  </xdr:oneCellAnchor>
  <xdr:oneCellAnchor>
    <xdr:from>
      <xdr:col>2</xdr:col>
      <xdr:colOff>76200</xdr:colOff>
      <xdr:row>20</xdr:row>
      <xdr:rowOff>76200</xdr:rowOff>
    </xdr:from>
    <xdr:ext cx="161925" cy="171450"/>
    <xdr:sp macro="" textlink="">
      <xdr:nvSpPr>
        <xdr:cNvPr id="301" name="CheckBox10" hidden="1">
          <a:extLst>
            <a:ext uri="{63B3BB69-23CF-44E3-9099-C40C66FF867C}">
              <a14:compatExt xmlns:a14="http://schemas.microsoft.com/office/drawing/2010/main" spid="_x0000_s24624"/>
            </a:ext>
            <a:ext uri="{FF2B5EF4-FFF2-40B4-BE49-F238E27FC236}">
              <a16:creationId xmlns:a16="http://schemas.microsoft.com/office/drawing/2014/main" id="{00000000-0008-0000-0200-00002D010000}"/>
            </a:ext>
          </a:extLst>
        </xdr:cNvPr>
        <xdr:cNvSpPr/>
      </xdr:nvSpPr>
      <xdr:spPr>
        <a:xfrm>
          <a:off x="2924175" y="6153150"/>
          <a:ext cx="161925" cy="171450"/>
        </a:xfrm>
        <a:prstGeom prst="rect">
          <a:avLst/>
        </a:prstGeom>
      </xdr:spPr>
    </xdr:sp>
    <xdr:clientData/>
  </xdr:oneCellAnchor>
  <xdr:oneCellAnchor>
    <xdr:from>
      <xdr:col>2</xdr:col>
      <xdr:colOff>85725</xdr:colOff>
      <xdr:row>17</xdr:row>
      <xdr:rowOff>66675</xdr:rowOff>
    </xdr:from>
    <xdr:ext cx="161925" cy="171450"/>
    <xdr:sp macro="" textlink="">
      <xdr:nvSpPr>
        <xdr:cNvPr id="302" name="CheckBox4" hidden="1">
          <a:extLst>
            <a:ext uri="{63B3BB69-23CF-44E3-9099-C40C66FF867C}">
              <a14:compatExt xmlns:a14="http://schemas.microsoft.com/office/drawing/2010/main" spid="_x0000_s24630"/>
            </a:ext>
            <a:ext uri="{FF2B5EF4-FFF2-40B4-BE49-F238E27FC236}">
              <a16:creationId xmlns:a16="http://schemas.microsoft.com/office/drawing/2014/main" id="{00000000-0008-0000-0200-00002E010000}"/>
            </a:ext>
          </a:extLst>
        </xdr:cNvPr>
        <xdr:cNvSpPr/>
      </xdr:nvSpPr>
      <xdr:spPr>
        <a:xfrm>
          <a:off x="2933700" y="5286375"/>
          <a:ext cx="161925" cy="171450"/>
        </a:xfrm>
        <a:prstGeom prst="rect">
          <a:avLst/>
        </a:prstGeom>
      </xdr:spPr>
    </xdr:sp>
    <xdr:clientData/>
  </xdr:oneCellAnchor>
  <xdr:oneCellAnchor>
    <xdr:from>
      <xdr:col>2</xdr:col>
      <xdr:colOff>85725</xdr:colOff>
      <xdr:row>18</xdr:row>
      <xdr:rowOff>66675</xdr:rowOff>
    </xdr:from>
    <xdr:ext cx="161925" cy="171450"/>
    <xdr:sp macro="" textlink="">
      <xdr:nvSpPr>
        <xdr:cNvPr id="303" name="CheckBox5" hidden="1">
          <a:extLst>
            <a:ext uri="{63B3BB69-23CF-44E3-9099-C40C66FF867C}">
              <a14:compatExt xmlns:a14="http://schemas.microsoft.com/office/drawing/2010/main" spid="_x0000_s24631"/>
            </a:ext>
            <a:ext uri="{FF2B5EF4-FFF2-40B4-BE49-F238E27FC236}">
              <a16:creationId xmlns:a16="http://schemas.microsoft.com/office/drawing/2014/main" id="{00000000-0008-0000-0200-00002F010000}"/>
            </a:ext>
          </a:extLst>
        </xdr:cNvPr>
        <xdr:cNvSpPr/>
      </xdr:nvSpPr>
      <xdr:spPr>
        <a:xfrm>
          <a:off x="2933700" y="5572125"/>
          <a:ext cx="161925" cy="171450"/>
        </a:xfrm>
        <a:prstGeom prst="rect">
          <a:avLst/>
        </a:prstGeom>
      </xdr:spPr>
    </xdr:sp>
    <xdr:clientData/>
  </xdr:oneCellAnchor>
  <xdr:oneCellAnchor>
    <xdr:from>
      <xdr:col>2</xdr:col>
      <xdr:colOff>85725</xdr:colOff>
      <xdr:row>19</xdr:row>
      <xdr:rowOff>76200</xdr:rowOff>
    </xdr:from>
    <xdr:ext cx="161925" cy="171450"/>
    <xdr:sp macro="" textlink="">
      <xdr:nvSpPr>
        <xdr:cNvPr id="304" name="CheckBox6" hidden="1">
          <a:extLst>
            <a:ext uri="{63B3BB69-23CF-44E3-9099-C40C66FF867C}">
              <a14:compatExt xmlns:a14="http://schemas.microsoft.com/office/drawing/2010/main" spid="_x0000_s24632"/>
            </a:ext>
            <a:ext uri="{FF2B5EF4-FFF2-40B4-BE49-F238E27FC236}">
              <a16:creationId xmlns:a16="http://schemas.microsoft.com/office/drawing/2014/main" id="{00000000-0008-0000-0200-000030010000}"/>
            </a:ext>
          </a:extLst>
        </xdr:cNvPr>
        <xdr:cNvSpPr/>
      </xdr:nvSpPr>
      <xdr:spPr>
        <a:xfrm>
          <a:off x="2933700" y="5867400"/>
          <a:ext cx="161925" cy="171450"/>
        </a:xfrm>
        <a:prstGeom prst="rect">
          <a:avLst/>
        </a:prstGeom>
      </xdr:spPr>
    </xdr:sp>
    <xdr:clientData/>
  </xdr:oneCellAnchor>
  <xdr:oneCellAnchor>
    <xdr:from>
      <xdr:col>2</xdr:col>
      <xdr:colOff>66675</xdr:colOff>
      <xdr:row>21</xdr:row>
      <xdr:rowOff>0</xdr:rowOff>
    </xdr:from>
    <xdr:ext cx="161925" cy="171450"/>
    <xdr:sp macro="" textlink="">
      <xdr:nvSpPr>
        <xdr:cNvPr id="305" name="CheckBox2" hidden="1">
          <a:extLst>
            <a:ext uri="{63B3BB69-23CF-44E3-9099-C40C66FF867C}">
              <a14:compatExt xmlns:a14="http://schemas.microsoft.com/office/drawing/2010/main" spid="_x0000_s24634"/>
            </a:ext>
            <a:ext uri="{FF2B5EF4-FFF2-40B4-BE49-F238E27FC236}">
              <a16:creationId xmlns:a16="http://schemas.microsoft.com/office/drawing/2014/main" id="{00000000-0008-0000-0200-000031010000}"/>
            </a:ext>
          </a:extLst>
        </xdr:cNvPr>
        <xdr:cNvSpPr/>
      </xdr:nvSpPr>
      <xdr:spPr>
        <a:xfrm>
          <a:off x="2914650" y="6438900"/>
          <a:ext cx="161925" cy="171450"/>
        </a:xfrm>
        <a:prstGeom prst="rect">
          <a:avLst/>
        </a:prstGeom>
      </xdr:spPr>
    </xdr:sp>
    <xdr:clientData/>
  </xdr:oneCellAnchor>
  <xdr:oneCellAnchor>
    <xdr:from>
      <xdr:col>2</xdr:col>
      <xdr:colOff>76200</xdr:colOff>
      <xdr:row>17</xdr:row>
      <xdr:rowOff>76200</xdr:rowOff>
    </xdr:from>
    <xdr:ext cx="161925" cy="171450"/>
    <xdr:sp macro="" textlink="">
      <xdr:nvSpPr>
        <xdr:cNvPr id="306" name="CheckBox7" hidden="1">
          <a:extLst>
            <a:ext uri="{63B3BB69-23CF-44E3-9099-C40C66FF867C}">
              <a14:compatExt xmlns:a14="http://schemas.microsoft.com/office/drawing/2010/main" spid="_x0000_s24645"/>
            </a:ext>
            <a:ext uri="{FF2B5EF4-FFF2-40B4-BE49-F238E27FC236}">
              <a16:creationId xmlns:a16="http://schemas.microsoft.com/office/drawing/2014/main" id="{00000000-0008-0000-0200-000032010000}"/>
            </a:ext>
          </a:extLst>
        </xdr:cNvPr>
        <xdr:cNvSpPr/>
      </xdr:nvSpPr>
      <xdr:spPr>
        <a:xfrm>
          <a:off x="2924175" y="5295900"/>
          <a:ext cx="161925" cy="171450"/>
        </a:xfrm>
        <a:prstGeom prst="rect">
          <a:avLst/>
        </a:prstGeom>
      </xdr:spPr>
    </xdr:sp>
    <xdr:clientData/>
  </xdr:oneCellAnchor>
  <xdr:oneCellAnchor>
    <xdr:from>
      <xdr:col>2</xdr:col>
      <xdr:colOff>85725</xdr:colOff>
      <xdr:row>17</xdr:row>
      <xdr:rowOff>66675</xdr:rowOff>
    </xdr:from>
    <xdr:ext cx="161925" cy="171450"/>
    <xdr:sp macro="" textlink="">
      <xdr:nvSpPr>
        <xdr:cNvPr id="307" name="CheckBox4" hidden="1">
          <a:extLst>
            <a:ext uri="{63B3BB69-23CF-44E3-9099-C40C66FF867C}">
              <a14:compatExt xmlns:a14="http://schemas.microsoft.com/office/drawing/2010/main" spid="_x0000_s24649"/>
            </a:ext>
            <a:ext uri="{FF2B5EF4-FFF2-40B4-BE49-F238E27FC236}">
              <a16:creationId xmlns:a16="http://schemas.microsoft.com/office/drawing/2014/main" id="{00000000-0008-0000-0200-000033010000}"/>
            </a:ext>
          </a:extLst>
        </xdr:cNvPr>
        <xdr:cNvSpPr/>
      </xdr:nvSpPr>
      <xdr:spPr>
        <a:xfrm>
          <a:off x="2933700" y="5286375"/>
          <a:ext cx="161925" cy="171450"/>
        </a:xfrm>
        <a:prstGeom prst="rect">
          <a:avLst/>
        </a:prstGeom>
      </xdr:spPr>
    </xdr:sp>
    <xdr:clientData/>
  </xdr:oneCellAnchor>
  <xdr:oneCellAnchor>
    <xdr:from>
      <xdr:col>2</xdr:col>
      <xdr:colOff>76200</xdr:colOff>
      <xdr:row>17</xdr:row>
      <xdr:rowOff>76200</xdr:rowOff>
    </xdr:from>
    <xdr:ext cx="161925" cy="171450"/>
    <xdr:sp macro="" textlink="">
      <xdr:nvSpPr>
        <xdr:cNvPr id="308" name="CheckBox7" hidden="1">
          <a:extLst>
            <a:ext uri="{63B3BB69-23CF-44E3-9099-C40C66FF867C}">
              <a14:compatExt xmlns:a14="http://schemas.microsoft.com/office/drawing/2010/main" spid="_x0000_s24650"/>
            </a:ext>
            <a:ext uri="{FF2B5EF4-FFF2-40B4-BE49-F238E27FC236}">
              <a16:creationId xmlns:a16="http://schemas.microsoft.com/office/drawing/2014/main" id="{00000000-0008-0000-0200-000034010000}"/>
            </a:ext>
          </a:extLst>
        </xdr:cNvPr>
        <xdr:cNvSpPr/>
      </xdr:nvSpPr>
      <xdr:spPr>
        <a:xfrm>
          <a:off x="2924175" y="5295900"/>
          <a:ext cx="161925" cy="171450"/>
        </a:xfrm>
        <a:prstGeom prst="rect">
          <a:avLst/>
        </a:prstGeom>
      </xdr:spPr>
    </xdr:sp>
    <xdr:clientData/>
  </xdr:oneCellAnchor>
  <xdr:oneCellAnchor>
    <xdr:from>
      <xdr:col>2</xdr:col>
      <xdr:colOff>76200</xdr:colOff>
      <xdr:row>18</xdr:row>
      <xdr:rowOff>76200</xdr:rowOff>
    </xdr:from>
    <xdr:ext cx="161925" cy="171450"/>
    <xdr:sp macro="" textlink="">
      <xdr:nvSpPr>
        <xdr:cNvPr id="309" name="CheckBox8" hidden="1">
          <a:extLst>
            <a:ext uri="{63B3BB69-23CF-44E3-9099-C40C66FF867C}">
              <a14:compatExt xmlns:a14="http://schemas.microsoft.com/office/drawing/2010/main" spid="_x0000_s24651"/>
            </a:ext>
            <a:ext uri="{FF2B5EF4-FFF2-40B4-BE49-F238E27FC236}">
              <a16:creationId xmlns:a16="http://schemas.microsoft.com/office/drawing/2014/main" id="{00000000-0008-0000-0200-000035010000}"/>
            </a:ext>
          </a:extLst>
        </xdr:cNvPr>
        <xdr:cNvSpPr/>
      </xdr:nvSpPr>
      <xdr:spPr>
        <a:xfrm>
          <a:off x="2924175" y="5581650"/>
          <a:ext cx="161925" cy="171450"/>
        </a:xfrm>
        <a:prstGeom prst="rect">
          <a:avLst/>
        </a:prstGeom>
      </xdr:spPr>
    </xdr:sp>
    <xdr:clientData/>
  </xdr:oneCellAnchor>
  <xdr:oneCellAnchor>
    <xdr:from>
      <xdr:col>2</xdr:col>
      <xdr:colOff>76200</xdr:colOff>
      <xdr:row>19</xdr:row>
      <xdr:rowOff>76200</xdr:rowOff>
    </xdr:from>
    <xdr:ext cx="161925" cy="171450"/>
    <xdr:sp macro="" textlink="">
      <xdr:nvSpPr>
        <xdr:cNvPr id="310" name="CheckBox9" hidden="1">
          <a:extLst>
            <a:ext uri="{63B3BB69-23CF-44E3-9099-C40C66FF867C}">
              <a14:compatExt xmlns:a14="http://schemas.microsoft.com/office/drawing/2010/main" spid="_x0000_s24652"/>
            </a:ext>
            <a:ext uri="{FF2B5EF4-FFF2-40B4-BE49-F238E27FC236}">
              <a16:creationId xmlns:a16="http://schemas.microsoft.com/office/drawing/2014/main" id="{00000000-0008-0000-0200-000036010000}"/>
            </a:ext>
          </a:extLst>
        </xdr:cNvPr>
        <xdr:cNvSpPr/>
      </xdr:nvSpPr>
      <xdr:spPr>
        <a:xfrm>
          <a:off x="2924175" y="5867400"/>
          <a:ext cx="161925" cy="171450"/>
        </a:xfrm>
        <a:prstGeom prst="rect">
          <a:avLst/>
        </a:prstGeom>
      </xdr:spPr>
    </xdr:sp>
    <xdr:clientData/>
  </xdr:oneCellAnchor>
  <xdr:oneCellAnchor>
    <xdr:from>
      <xdr:col>2</xdr:col>
      <xdr:colOff>85725</xdr:colOff>
      <xdr:row>17</xdr:row>
      <xdr:rowOff>66675</xdr:rowOff>
    </xdr:from>
    <xdr:ext cx="161925" cy="171450"/>
    <xdr:sp macro="" textlink="">
      <xdr:nvSpPr>
        <xdr:cNvPr id="311" name="CheckBox4" hidden="1">
          <a:extLst>
            <a:ext uri="{63B3BB69-23CF-44E3-9099-C40C66FF867C}">
              <a14:compatExt xmlns:a14="http://schemas.microsoft.com/office/drawing/2010/main" spid="_x0000_s24653"/>
            </a:ext>
            <a:ext uri="{FF2B5EF4-FFF2-40B4-BE49-F238E27FC236}">
              <a16:creationId xmlns:a16="http://schemas.microsoft.com/office/drawing/2014/main" id="{00000000-0008-0000-0200-000037010000}"/>
            </a:ext>
          </a:extLst>
        </xdr:cNvPr>
        <xdr:cNvSpPr/>
      </xdr:nvSpPr>
      <xdr:spPr>
        <a:xfrm>
          <a:off x="2933700" y="5286375"/>
          <a:ext cx="161925" cy="171450"/>
        </a:xfrm>
        <a:prstGeom prst="rect">
          <a:avLst/>
        </a:prstGeom>
      </xdr:spPr>
    </xdr:sp>
    <xdr:clientData/>
  </xdr:oneCellAnchor>
  <xdr:oneCellAnchor>
    <xdr:from>
      <xdr:col>2</xdr:col>
      <xdr:colOff>85725</xdr:colOff>
      <xdr:row>18</xdr:row>
      <xdr:rowOff>66675</xdr:rowOff>
    </xdr:from>
    <xdr:ext cx="161925" cy="171450"/>
    <xdr:sp macro="" textlink="">
      <xdr:nvSpPr>
        <xdr:cNvPr id="312" name="CheckBox5" hidden="1">
          <a:extLst>
            <a:ext uri="{63B3BB69-23CF-44E3-9099-C40C66FF867C}">
              <a14:compatExt xmlns:a14="http://schemas.microsoft.com/office/drawing/2010/main" spid="_x0000_s24654"/>
            </a:ext>
            <a:ext uri="{FF2B5EF4-FFF2-40B4-BE49-F238E27FC236}">
              <a16:creationId xmlns:a16="http://schemas.microsoft.com/office/drawing/2014/main" id="{00000000-0008-0000-0200-000038010000}"/>
            </a:ext>
          </a:extLst>
        </xdr:cNvPr>
        <xdr:cNvSpPr/>
      </xdr:nvSpPr>
      <xdr:spPr>
        <a:xfrm>
          <a:off x="2933700" y="5572125"/>
          <a:ext cx="161925" cy="171450"/>
        </a:xfrm>
        <a:prstGeom prst="rect">
          <a:avLst/>
        </a:prstGeom>
      </xdr:spPr>
    </xdr:sp>
    <xdr:clientData/>
  </xdr:oneCellAnchor>
  <xdr:oneCellAnchor>
    <xdr:from>
      <xdr:col>2</xdr:col>
      <xdr:colOff>85725</xdr:colOff>
      <xdr:row>19</xdr:row>
      <xdr:rowOff>76200</xdr:rowOff>
    </xdr:from>
    <xdr:ext cx="161925" cy="171450"/>
    <xdr:sp macro="" textlink="">
      <xdr:nvSpPr>
        <xdr:cNvPr id="313" name="CheckBox6" hidden="1">
          <a:extLst>
            <a:ext uri="{63B3BB69-23CF-44E3-9099-C40C66FF867C}">
              <a14:compatExt xmlns:a14="http://schemas.microsoft.com/office/drawing/2010/main" spid="_x0000_s24655"/>
            </a:ext>
            <a:ext uri="{FF2B5EF4-FFF2-40B4-BE49-F238E27FC236}">
              <a16:creationId xmlns:a16="http://schemas.microsoft.com/office/drawing/2014/main" id="{00000000-0008-0000-0200-000039010000}"/>
            </a:ext>
          </a:extLst>
        </xdr:cNvPr>
        <xdr:cNvSpPr/>
      </xdr:nvSpPr>
      <xdr:spPr>
        <a:xfrm>
          <a:off x="2933700" y="5867400"/>
          <a:ext cx="161925" cy="171450"/>
        </a:xfrm>
        <a:prstGeom prst="rect">
          <a:avLst/>
        </a:prstGeom>
      </xdr:spPr>
    </xdr:sp>
    <xdr:clientData/>
  </xdr:oneCellAnchor>
  <xdr:oneCellAnchor>
    <xdr:from>
      <xdr:col>2</xdr:col>
      <xdr:colOff>85725</xdr:colOff>
      <xdr:row>16</xdr:row>
      <xdr:rowOff>66675</xdr:rowOff>
    </xdr:from>
    <xdr:ext cx="161925" cy="171450"/>
    <xdr:sp macro="" textlink="">
      <xdr:nvSpPr>
        <xdr:cNvPr id="320" name="CheckBox4" hidden="1">
          <a:extLst>
            <a:ext uri="{63B3BB69-23CF-44E3-9099-C40C66FF867C}">
              <a14:compatExt xmlns:a14="http://schemas.microsoft.com/office/drawing/2010/main" spid="_x0000_s24606"/>
            </a:ext>
            <a:ext uri="{FF2B5EF4-FFF2-40B4-BE49-F238E27FC236}">
              <a16:creationId xmlns:a16="http://schemas.microsoft.com/office/drawing/2014/main" id="{00000000-0008-0000-0200-000040010000}"/>
            </a:ext>
          </a:extLst>
        </xdr:cNvPr>
        <xdr:cNvSpPr/>
      </xdr:nvSpPr>
      <xdr:spPr>
        <a:xfrm>
          <a:off x="2933700" y="5000625"/>
          <a:ext cx="161925" cy="171450"/>
        </a:xfrm>
        <a:prstGeom prst="rect">
          <a:avLst/>
        </a:prstGeom>
      </xdr:spPr>
    </xdr:sp>
    <xdr:clientData/>
  </xdr:oneCellAnchor>
  <xdr:oneCellAnchor>
    <xdr:from>
      <xdr:col>2</xdr:col>
      <xdr:colOff>85725</xdr:colOff>
      <xdr:row>16</xdr:row>
      <xdr:rowOff>66675</xdr:rowOff>
    </xdr:from>
    <xdr:ext cx="161925" cy="171450"/>
    <xdr:sp macro="" textlink="">
      <xdr:nvSpPr>
        <xdr:cNvPr id="322" name="CheckBox4" hidden="1">
          <a:extLst>
            <a:ext uri="{63B3BB69-23CF-44E3-9099-C40C66FF867C}">
              <a14:compatExt xmlns:a14="http://schemas.microsoft.com/office/drawing/2010/main" spid="_x0000_s24606"/>
            </a:ext>
            <a:ext uri="{FF2B5EF4-FFF2-40B4-BE49-F238E27FC236}">
              <a16:creationId xmlns:a16="http://schemas.microsoft.com/office/drawing/2014/main" id="{00000000-0008-0000-0200-000042010000}"/>
            </a:ext>
          </a:extLst>
        </xdr:cNvPr>
        <xdr:cNvSpPr/>
      </xdr:nvSpPr>
      <xdr:spPr>
        <a:xfrm>
          <a:off x="2933700" y="5000625"/>
          <a:ext cx="161925" cy="171450"/>
        </a:xfrm>
        <a:prstGeom prst="rect">
          <a:avLst/>
        </a:prstGeom>
      </xdr:spPr>
    </xdr:sp>
    <xdr:clientData/>
  </xdr:oneCellAnchor>
  <xdr:oneCellAnchor>
    <xdr:from>
      <xdr:col>2</xdr:col>
      <xdr:colOff>85725</xdr:colOff>
      <xdr:row>13</xdr:row>
      <xdr:rowOff>66675</xdr:rowOff>
    </xdr:from>
    <xdr:ext cx="161925" cy="171450"/>
    <xdr:sp macro="" textlink="">
      <xdr:nvSpPr>
        <xdr:cNvPr id="323" name="CheckBox2" hidden="1">
          <a:extLst>
            <a:ext uri="{63B3BB69-23CF-44E3-9099-C40C66FF867C}">
              <a14:compatExt xmlns:a14="http://schemas.microsoft.com/office/drawing/2010/main" spid="_x0000_s24604"/>
            </a:ext>
            <a:ext uri="{FF2B5EF4-FFF2-40B4-BE49-F238E27FC236}">
              <a16:creationId xmlns:a16="http://schemas.microsoft.com/office/drawing/2014/main" id="{00000000-0008-0000-0200-000043010000}"/>
            </a:ext>
          </a:extLst>
        </xdr:cNvPr>
        <xdr:cNvSpPr/>
      </xdr:nvSpPr>
      <xdr:spPr>
        <a:xfrm>
          <a:off x="85725" y="4429125"/>
          <a:ext cx="161925" cy="171450"/>
        </a:xfrm>
        <a:prstGeom prst="rect">
          <a:avLst/>
        </a:prstGeom>
      </xdr:spPr>
    </xdr:sp>
    <xdr:clientData/>
  </xdr:oneCellAnchor>
  <xdr:oneCellAnchor>
    <xdr:from>
      <xdr:col>2</xdr:col>
      <xdr:colOff>85725</xdr:colOff>
      <xdr:row>13</xdr:row>
      <xdr:rowOff>66675</xdr:rowOff>
    </xdr:from>
    <xdr:ext cx="161925" cy="171450"/>
    <xdr:sp macro="" textlink="">
      <xdr:nvSpPr>
        <xdr:cNvPr id="324" name="CheckBox2" hidden="1">
          <a:extLst>
            <a:ext uri="{63B3BB69-23CF-44E3-9099-C40C66FF867C}">
              <a14:compatExt xmlns:a14="http://schemas.microsoft.com/office/drawing/2010/main" spid="_x0000_s24604"/>
            </a:ext>
            <a:ext uri="{FF2B5EF4-FFF2-40B4-BE49-F238E27FC236}">
              <a16:creationId xmlns:a16="http://schemas.microsoft.com/office/drawing/2014/main" id="{00000000-0008-0000-0200-000044010000}"/>
            </a:ext>
          </a:extLst>
        </xdr:cNvPr>
        <xdr:cNvSpPr/>
      </xdr:nvSpPr>
      <xdr:spPr>
        <a:xfrm>
          <a:off x="85725" y="4429125"/>
          <a:ext cx="161925" cy="171450"/>
        </a:xfrm>
        <a:prstGeom prst="rect">
          <a:avLst/>
        </a:prstGeom>
      </xdr:spPr>
    </xdr:sp>
    <xdr:clientData/>
  </xdr:oneCellAnchor>
  <xdr:oneCellAnchor>
    <xdr:from>
      <xdr:col>2</xdr:col>
      <xdr:colOff>85725</xdr:colOff>
      <xdr:row>14</xdr:row>
      <xdr:rowOff>66675</xdr:rowOff>
    </xdr:from>
    <xdr:ext cx="161925" cy="171450"/>
    <xdr:sp macro="" textlink="">
      <xdr:nvSpPr>
        <xdr:cNvPr id="326" name="CheckBox3" hidden="1">
          <a:extLst>
            <a:ext uri="{63B3BB69-23CF-44E3-9099-C40C66FF867C}">
              <a14:compatExt xmlns:a14="http://schemas.microsoft.com/office/drawing/2010/main" spid="_x0000_s24605"/>
            </a:ext>
            <a:ext uri="{FF2B5EF4-FFF2-40B4-BE49-F238E27FC236}">
              <a16:creationId xmlns:a16="http://schemas.microsoft.com/office/drawing/2014/main" id="{00000000-0008-0000-0200-000046010000}"/>
            </a:ext>
          </a:extLst>
        </xdr:cNvPr>
        <xdr:cNvSpPr/>
      </xdr:nvSpPr>
      <xdr:spPr>
        <a:xfrm>
          <a:off x="85725" y="4714875"/>
          <a:ext cx="161925" cy="171450"/>
        </a:xfrm>
        <a:prstGeom prst="rect">
          <a:avLst/>
        </a:prstGeom>
      </xdr:spPr>
    </xdr:sp>
    <xdr:clientData/>
  </xdr:oneCellAnchor>
  <xdr:oneCellAnchor>
    <xdr:from>
      <xdr:col>2</xdr:col>
      <xdr:colOff>85725</xdr:colOff>
      <xdr:row>14</xdr:row>
      <xdr:rowOff>66675</xdr:rowOff>
    </xdr:from>
    <xdr:ext cx="161925" cy="171450"/>
    <xdr:sp macro="" textlink="">
      <xdr:nvSpPr>
        <xdr:cNvPr id="327" name="CheckBox3" hidden="1">
          <a:extLst>
            <a:ext uri="{63B3BB69-23CF-44E3-9099-C40C66FF867C}">
              <a14:compatExt xmlns:a14="http://schemas.microsoft.com/office/drawing/2010/main" spid="_x0000_s24605"/>
            </a:ext>
            <a:ext uri="{FF2B5EF4-FFF2-40B4-BE49-F238E27FC236}">
              <a16:creationId xmlns:a16="http://schemas.microsoft.com/office/drawing/2014/main" id="{00000000-0008-0000-0200-000047010000}"/>
            </a:ext>
          </a:extLst>
        </xdr:cNvPr>
        <xdr:cNvSpPr/>
      </xdr:nvSpPr>
      <xdr:spPr>
        <a:xfrm>
          <a:off x="85725" y="4714875"/>
          <a:ext cx="161925" cy="171450"/>
        </a:xfrm>
        <a:prstGeom prst="rect">
          <a:avLst/>
        </a:prstGeom>
      </xdr:spPr>
    </xdr:sp>
    <xdr:clientData/>
  </xdr:oneCellAnchor>
  <xdr:oneCellAnchor>
    <xdr:from>
      <xdr:col>2</xdr:col>
      <xdr:colOff>0</xdr:colOff>
      <xdr:row>8</xdr:row>
      <xdr:rowOff>66675</xdr:rowOff>
    </xdr:from>
    <xdr:ext cx="161925" cy="171450"/>
    <xdr:sp macro="" textlink="">
      <xdr:nvSpPr>
        <xdr:cNvPr id="333" name="CheckBox5" hidden="1">
          <a:extLst>
            <a:ext uri="{63B3BB69-23CF-44E3-9099-C40C66FF867C}">
              <a14:compatExt xmlns:a14="http://schemas.microsoft.com/office/drawing/2010/main" spid="_x0000_s24619"/>
            </a:ext>
            <a:ext uri="{FF2B5EF4-FFF2-40B4-BE49-F238E27FC236}">
              <a16:creationId xmlns:a16="http://schemas.microsoft.com/office/drawing/2014/main" id="{00000000-0008-0000-0200-00004D010000}"/>
            </a:ext>
          </a:extLst>
        </xdr:cNvPr>
        <xdr:cNvSpPr/>
      </xdr:nvSpPr>
      <xdr:spPr>
        <a:xfrm>
          <a:off x="2847975" y="3571875"/>
          <a:ext cx="161925" cy="171450"/>
        </a:xfrm>
        <a:prstGeom prst="rect">
          <a:avLst/>
        </a:prstGeom>
      </xdr:spPr>
    </xdr:sp>
    <xdr:clientData/>
  </xdr:oneCellAnchor>
  <xdr:oneCellAnchor>
    <xdr:from>
      <xdr:col>2</xdr:col>
      <xdr:colOff>0</xdr:colOff>
      <xdr:row>9</xdr:row>
      <xdr:rowOff>76200</xdr:rowOff>
    </xdr:from>
    <xdr:ext cx="161925" cy="171450"/>
    <xdr:sp macro="" textlink="">
      <xdr:nvSpPr>
        <xdr:cNvPr id="334" name="CheckBox6" hidden="1">
          <a:extLst>
            <a:ext uri="{63B3BB69-23CF-44E3-9099-C40C66FF867C}">
              <a14:compatExt xmlns:a14="http://schemas.microsoft.com/office/drawing/2010/main" spid="_x0000_s24620"/>
            </a:ext>
            <a:ext uri="{FF2B5EF4-FFF2-40B4-BE49-F238E27FC236}">
              <a16:creationId xmlns:a16="http://schemas.microsoft.com/office/drawing/2014/main" id="{00000000-0008-0000-0200-00004E010000}"/>
            </a:ext>
          </a:extLst>
        </xdr:cNvPr>
        <xdr:cNvSpPr/>
      </xdr:nvSpPr>
      <xdr:spPr>
        <a:xfrm>
          <a:off x="2847975" y="3867150"/>
          <a:ext cx="161925" cy="171450"/>
        </a:xfrm>
        <a:prstGeom prst="rect">
          <a:avLst/>
        </a:prstGeom>
      </xdr:spPr>
    </xdr:sp>
    <xdr:clientData/>
  </xdr:oneCellAnchor>
  <xdr:oneCellAnchor>
    <xdr:from>
      <xdr:col>2</xdr:col>
      <xdr:colOff>0</xdr:colOff>
      <xdr:row>8</xdr:row>
      <xdr:rowOff>66675</xdr:rowOff>
    </xdr:from>
    <xdr:ext cx="161925" cy="171450"/>
    <xdr:sp macro="" textlink="">
      <xdr:nvSpPr>
        <xdr:cNvPr id="335" name="CheckBox5" hidden="1">
          <a:extLst>
            <a:ext uri="{63B3BB69-23CF-44E3-9099-C40C66FF867C}">
              <a14:compatExt xmlns:a14="http://schemas.microsoft.com/office/drawing/2010/main" spid="_x0000_s24643"/>
            </a:ext>
            <a:ext uri="{FF2B5EF4-FFF2-40B4-BE49-F238E27FC236}">
              <a16:creationId xmlns:a16="http://schemas.microsoft.com/office/drawing/2014/main" id="{00000000-0008-0000-0200-00004F010000}"/>
            </a:ext>
          </a:extLst>
        </xdr:cNvPr>
        <xdr:cNvSpPr/>
      </xdr:nvSpPr>
      <xdr:spPr>
        <a:xfrm>
          <a:off x="2847975" y="3571875"/>
          <a:ext cx="161925" cy="171450"/>
        </a:xfrm>
        <a:prstGeom prst="rect">
          <a:avLst/>
        </a:prstGeom>
      </xdr:spPr>
    </xdr:sp>
    <xdr:clientData/>
  </xdr:oneCellAnchor>
  <xdr:oneCellAnchor>
    <xdr:from>
      <xdr:col>2</xdr:col>
      <xdr:colOff>0</xdr:colOff>
      <xdr:row>9</xdr:row>
      <xdr:rowOff>76200</xdr:rowOff>
    </xdr:from>
    <xdr:ext cx="161925" cy="171450"/>
    <xdr:sp macro="" textlink="">
      <xdr:nvSpPr>
        <xdr:cNvPr id="336" name="CheckBox6" hidden="1">
          <a:extLst>
            <a:ext uri="{63B3BB69-23CF-44E3-9099-C40C66FF867C}">
              <a14:compatExt xmlns:a14="http://schemas.microsoft.com/office/drawing/2010/main" spid="_x0000_s24644"/>
            </a:ext>
            <a:ext uri="{FF2B5EF4-FFF2-40B4-BE49-F238E27FC236}">
              <a16:creationId xmlns:a16="http://schemas.microsoft.com/office/drawing/2014/main" id="{00000000-0008-0000-0200-000050010000}"/>
            </a:ext>
          </a:extLst>
        </xdr:cNvPr>
        <xdr:cNvSpPr/>
      </xdr:nvSpPr>
      <xdr:spPr>
        <a:xfrm>
          <a:off x="2847975" y="3867150"/>
          <a:ext cx="161925" cy="171450"/>
        </a:xfrm>
        <a:prstGeom prst="rect">
          <a:avLst/>
        </a:prstGeom>
      </xdr:spPr>
    </xdr:sp>
    <xdr:clientData/>
  </xdr:oneCellAnchor>
  <xdr:oneCellAnchor>
    <xdr:from>
      <xdr:col>2</xdr:col>
      <xdr:colOff>85725</xdr:colOff>
      <xdr:row>8</xdr:row>
      <xdr:rowOff>66675</xdr:rowOff>
    </xdr:from>
    <xdr:ext cx="161925" cy="171450"/>
    <xdr:sp macro="" textlink="">
      <xdr:nvSpPr>
        <xdr:cNvPr id="337" name="CheckBox5" hidden="1">
          <a:extLst>
            <a:ext uri="{63B3BB69-23CF-44E3-9099-C40C66FF867C}">
              <a14:compatExt xmlns:a14="http://schemas.microsoft.com/office/drawing/2010/main" spid="_x0000_s24619"/>
            </a:ext>
            <a:ext uri="{FF2B5EF4-FFF2-40B4-BE49-F238E27FC236}">
              <a16:creationId xmlns:a16="http://schemas.microsoft.com/office/drawing/2014/main" id="{00000000-0008-0000-0200-000051010000}"/>
            </a:ext>
          </a:extLst>
        </xdr:cNvPr>
        <xdr:cNvSpPr/>
      </xdr:nvSpPr>
      <xdr:spPr>
        <a:xfrm>
          <a:off x="2933700" y="3571875"/>
          <a:ext cx="161925" cy="171450"/>
        </a:xfrm>
        <a:prstGeom prst="rect">
          <a:avLst/>
        </a:prstGeom>
      </xdr:spPr>
    </xdr:sp>
    <xdr:clientData/>
  </xdr:oneCellAnchor>
  <xdr:oneCellAnchor>
    <xdr:from>
      <xdr:col>2</xdr:col>
      <xdr:colOff>85725</xdr:colOff>
      <xdr:row>9</xdr:row>
      <xdr:rowOff>76200</xdr:rowOff>
    </xdr:from>
    <xdr:ext cx="161925" cy="171450"/>
    <xdr:sp macro="" textlink="">
      <xdr:nvSpPr>
        <xdr:cNvPr id="338" name="CheckBox6" hidden="1">
          <a:extLst>
            <a:ext uri="{63B3BB69-23CF-44E3-9099-C40C66FF867C}">
              <a14:compatExt xmlns:a14="http://schemas.microsoft.com/office/drawing/2010/main" spid="_x0000_s24620"/>
            </a:ext>
            <a:ext uri="{FF2B5EF4-FFF2-40B4-BE49-F238E27FC236}">
              <a16:creationId xmlns:a16="http://schemas.microsoft.com/office/drawing/2014/main" id="{00000000-0008-0000-0200-000052010000}"/>
            </a:ext>
          </a:extLst>
        </xdr:cNvPr>
        <xdr:cNvSpPr/>
      </xdr:nvSpPr>
      <xdr:spPr>
        <a:xfrm>
          <a:off x="2933700" y="3867150"/>
          <a:ext cx="161925" cy="171450"/>
        </a:xfrm>
        <a:prstGeom prst="rect">
          <a:avLst/>
        </a:prstGeom>
      </xdr:spPr>
    </xdr:sp>
    <xdr:clientData/>
  </xdr:oneCellAnchor>
  <xdr:oneCellAnchor>
    <xdr:from>
      <xdr:col>2</xdr:col>
      <xdr:colOff>85725</xdr:colOff>
      <xdr:row>8</xdr:row>
      <xdr:rowOff>66675</xdr:rowOff>
    </xdr:from>
    <xdr:ext cx="161925" cy="171450"/>
    <xdr:sp macro="" textlink="">
      <xdr:nvSpPr>
        <xdr:cNvPr id="339" name="CheckBox5" hidden="1">
          <a:extLst>
            <a:ext uri="{63B3BB69-23CF-44E3-9099-C40C66FF867C}">
              <a14:compatExt xmlns:a14="http://schemas.microsoft.com/office/drawing/2010/main" spid="_x0000_s24643"/>
            </a:ext>
            <a:ext uri="{FF2B5EF4-FFF2-40B4-BE49-F238E27FC236}">
              <a16:creationId xmlns:a16="http://schemas.microsoft.com/office/drawing/2014/main" id="{00000000-0008-0000-0200-000053010000}"/>
            </a:ext>
          </a:extLst>
        </xdr:cNvPr>
        <xdr:cNvSpPr/>
      </xdr:nvSpPr>
      <xdr:spPr>
        <a:xfrm>
          <a:off x="2933700" y="3571875"/>
          <a:ext cx="161925" cy="171450"/>
        </a:xfrm>
        <a:prstGeom prst="rect">
          <a:avLst/>
        </a:prstGeom>
      </xdr:spPr>
    </xdr:sp>
    <xdr:clientData/>
  </xdr:oneCellAnchor>
  <xdr:oneCellAnchor>
    <xdr:from>
      <xdr:col>2</xdr:col>
      <xdr:colOff>85725</xdr:colOff>
      <xdr:row>9</xdr:row>
      <xdr:rowOff>76200</xdr:rowOff>
    </xdr:from>
    <xdr:ext cx="161925" cy="171450"/>
    <xdr:sp macro="" textlink="">
      <xdr:nvSpPr>
        <xdr:cNvPr id="340" name="CheckBox6" hidden="1">
          <a:extLst>
            <a:ext uri="{63B3BB69-23CF-44E3-9099-C40C66FF867C}">
              <a14:compatExt xmlns:a14="http://schemas.microsoft.com/office/drawing/2010/main" spid="_x0000_s24644"/>
            </a:ext>
            <a:ext uri="{FF2B5EF4-FFF2-40B4-BE49-F238E27FC236}">
              <a16:creationId xmlns:a16="http://schemas.microsoft.com/office/drawing/2014/main" id="{00000000-0008-0000-0200-000054010000}"/>
            </a:ext>
          </a:extLst>
        </xdr:cNvPr>
        <xdr:cNvSpPr/>
      </xdr:nvSpPr>
      <xdr:spPr>
        <a:xfrm>
          <a:off x="2933700" y="3867150"/>
          <a:ext cx="161925" cy="171450"/>
        </a:xfrm>
        <a:prstGeom prst="rect">
          <a:avLst/>
        </a:prstGeom>
      </xdr:spPr>
    </xdr:sp>
    <xdr:clientData/>
  </xdr:oneCellAnchor>
  <mc:AlternateContent xmlns:mc="http://schemas.openxmlformats.org/markup-compatibility/2006">
    <mc:Choice xmlns:a14="http://schemas.microsoft.com/office/drawing/2010/main" Requires="a14">
      <xdr:twoCellAnchor editAs="oneCell">
        <xdr:from>
          <xdr:col>1</xdr:col>
          <xdr:colOff>88900</xdr:colOff>
          <xdr:row>11</xdr:row>
          <xdr:rowOff>76200</xdr:rowOff>
        </xdr:from>
        <xdr:to>
          <xdr:col>1</xdr:col>
          <xdr:colOff>254000</xdr:colOff>
          <xdr:row>11</xdr:row>
          <xdr:rowOff>247650</xdr:rowOff>
        </xdr:to>
        <xdr:sp macro="" textlink="">
          <xdr:nvSpPr>
            <xdr:cNvPr id="25711" name="CheckBox109" hidden="1">
              <a:extLst>
                <a:ext uri="{63B3BB69-23CF-44E3-9099-C40C66FF867C}">
                  <a14:compatExt spid="_x0000_s25711"/>
                </a:ext>
                <a:ext uri="{FF2B5EF4-FFF2-40B4-BE49-F238E27FC236}">
                  <a16:creationId xmlns:a16="http://schemas.microsoft.com/office/drawing/2014/main" id="{00000000-0008-0000-0200-00006F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11</xdr:row>
          <xdr:rowOff>76200</xdr:rowOff>
        </xdr:from>
        <xdr:to>
          <xdr:col>2</xdr:col>
          <xdr:colOff>254000</xdr:colOff>
          <xdr:row>11</xdr:row>
          <xdr:rowOff>247650</xdr:rowOff>
        </xdr:to>
        <xdr:sp macro="" textlink="">
          <xdr:nvSpPr>
            <xdr:cNvPr id="25712" name="CheckBox110" hidden="1">
              <a:extLst>
                <a:ext uri="{63B3BB69-23CF-44E3-9099-C40C66FF867C}">
                  <a14:compatExt spid="_x0000_s25712"/>
                </a:ext>
                <a:ext uri="{FF2B5EF4-FFF2-40B4-BE49-F238E27FC236}">
                  <a16:creationId xmlns:a16="http://schemas.microsoft.com/office/drawing/2014/main" id="{00000000-0008-0000-0200-000070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oneCellAnchor>
    <xdr:from>
      <xdr:col>2</xdr:col>
      <xdr:colOff>85725</xdr:colOff>
      <xdr:row>12</xdr:row>
      <xdr:rowOff>66675</xdr:rowOff>
    </xdr:from>
    <xdr:ext cx="161925" cy="171450"/>
    <xdr:sp macro="" textlink="">
      <xdr:nvSpPr>
        <xdr:cNvPr id="350" name="CheckBox1" hidden="1">
          <a:extLst>
            <a:ext uri="{63B3BB69-23CF-44E3-9099-C40C66FF867C}">
              <a14:compatExt xmlns:a14="http://schemas.microsoft.com/office/drawing/2010/main" spid="_x0000_s24603"/>
            </a:ext>
            <a:ext uri="{FF2B5EF4-FFF2-40B4-BE49-F238E27FC236}">
              <a16:creationId xmlns:a16="http://schemas.microsoft.com/office/drawing/2014/main" id="{00000000-0008-0000-0200-00005E010000}"/>
            </a:ext>
          </a:extLst>
        </xdr:cNvPr>
        <xdr:cNvSpPr/>
      </xdr:nvSpPr>
      <xdr:spPr>
        <a:xfrm>
          <a:off x="85725" y="4429125"/>
          <a:ext cx="161925" cy="171450"/>
        </a:xfrm>
        <a:prstGeom prst="rect">
          <a:avLst/>
        </a:prstGeom>
      </xdr:spPr>
    </xdr:sp>
    <xdr:clientData/>
  </xdr:oneCellAnchor>
  <xdr:oneCellAnchor>
    <xdr:from>
      <xdr:col>2</xdr:col>
      <xdr:colOff>85725</xdr:colOff>
      <xdr:row>12</xdr:row>
      <xdr:rowOff>66675</xdr:rowOff>
    </xdr:from>
    <xdr:ext cx="161925" cy="171450"/>
    <xdr:sp macro="" textlink="">
      <xdr:nvSpPr>
        <xdr:cNvPr id="351" name="CheckBox1" hidden="1">
          <a:extLst>
            <a:ext uri="{63B3BB69-23CF-44E3-9099-C40C66FF867C}">
              <a14:compatExt xmlns:a14="http://schemas.microsoft.com/office/drawing/2010/main" spid="_x0000_s24603"/>
            </a:ext>
            <a:ext uri="{FF2B5EF4-FFF2-40B4-BE49-F238E27FC236}">
              <a16:creationId xmlns:a16="http://schemas.microsoft.com/office/drawing/2014/main" id="{00000000-0008-0000-0200-00005F010000}"/>
            </a:ext>
          </a:extLst>
        </xdr:cNvPr>
        <xdr:cNvSpPr/>
      </xdr:nvSpPr>
      <xdr:spPr>
        <a:xfrm>
          <a:off x="85725" y="4429125"/>
          <a:ext cx="161925" cy="171450"/>
        </a:xfrm>
        <a:prstGeom prst="rect">
          <a:avLst/>
        </a:prstGeom>
      </xdr:spPr>
    </xdr:sp>
    <xdr:clientData/>
  </xdr:oneCellAnchor>
  <mc:AlternateContent xmlns:mc="http://schemas.openxmlformats.org/markup-compatibility/2006">
    <mc:Choice xmlns:a14="http://schemas.microsoft.com/office/drawing/2010/main" Requires="a14">
      <xdr:twoCellAnchor editAs="oneCell">
        <xdr:from>
          <xdr:col>1</xdr:col>
          <xdr:colOff>1631950</xdr:colOff>
          <xdr:row>5</xdr:row>
          <xdr:rowOff>57150</xdr:rowOff>
        </xdr:from>
        <xdr:to>
          <xdr:col>1</xdr:col>
          <xdr:colOff>2819400</xdr:colOff>
          <xdr:row>5</xdr:row>
          <xdr:rowOff>266700</xdr:rowOff>
        </xdr:to>
        <xdr:sp macro="" textlink="">
          <xdr:nvSpPr>
            <xdr:cNvPr id="25723" name="Drop Down 123" hidden="1">
              <a:extLst>
                <a:ext uri="{63B3BB69-23CF-44E3-9099-C40C66FF867C}">
                  <a14:compatExt spid="_x0000_s25723"/>
                </a:ext>
                <a:ext uri="{FF2B5EF4-FFF2-40B4-BE49-F238E27FC236}">
                  <a16:creationId xmlns:a16="http://schemas.microsoft.com/office/drawing/2014/main" id="{00000000-0008-0000-0200-00007B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1631950</xdr:colOff>
          <xdr:row>5</xdr:row>
          <xdr:rowOff>57150</xdr:rowOff>
        </xdr:from>
        <xdr:to>
          <xdr:col>2</xdr:col>
          <xdr:colOff>2819400</xdr:colOff>
          <xdr:row>5</xdr:row>
          <xdr:rowOff>266700</xdr:rowOff>
        </xdr:to>
        <xdr:sp macro="" textlink="">
          <xdr:nvSpPr>
            <xdr:cNvPr id="25727" name="Drop Down 127" hidden="1">
              <a:extLst>
                <a:ext uri="{63B3BB69-23CF-44E3-9099-C40C66FF867C}">
                  <a14:compatExt spid="_x0000_s25727"/>
                </a:ext>
                <a:ext uri="{FF2B5EF4-FFF2-40B4-BE49-F238E27FC236}">
                  <a16:creationId xmlns:a16="http://schemas.microsoft.com/office/drawing/2014/main" id="{00000000-0008-0000-0200-00007F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0</xdr:colOff>
      <xdr:row>6</xdr:row>
      <xdr:rowOff>66675</xdr:rowOff>
    </xdr:from>
    <xdr:ext cx="161925" cy="171450"/>
    <xdr:sp macro="" textlink="">
      <xdr:nvSpPr>
        <xdr:cNvPr id="371" name="CheckBox3" hidden="1">
          <a:extLst>
            <a:ext uri="{63B3BB69-23CF-44E3-9099-C40C66FF867C}">
              <a14:compatExt xmlns:a14="http://schemas.microsoft.com/office/drawing/2010/main" spid="_x0000_s24617"/>
            </a:ext>
            <a:ext uri="{FF2B5EF4-FFF2-40B4-BE49-F238E27FC236}">
              <a16:creationId xmlns:a16="http://schemas.microsoft.com/office/drawing/2014/main" id="{00000000-0008-0000-0200-000073010000}"/>
            </a:ext>
          </a:extLst>
        </xdr:cNvPr>
        <xdr:cNvSpPr/>
      </xdr:nvSpPr>
      <xdr:spPr>
        <a:xfrm>
          <a:off x="3457575" y="2371725"/>
          <a:ext cx="161925" cy="171450"/>
        </a:xfrm>
        <a:prstGeom prst="rect">
          <a:avLst/>
        </a:prstGeom>
      </xdr:spPr>
    </xdr:sp>
    <xdr:clientData/>
  </xdr:oneCellAnchor>
  <xdr:oneCellAnchor>
    <xdr:from>
      <xdr:col>2</xdr:col>
      <xdr:colOff>0</xdr:colOff>
      <xdr:row>6</xdr:row>
      <xdr:rowOff>66675</xdr:rowOff>
    </xdr:from>
    <xdr:ext cx="161925" cy="171450"/>
    <xdr:sp macro="" textlink="">
      <xdr:nvSpPr>
        <xdr:cNvPr id="372" name="CheckBox3" hidden="1">
          <a:extLst>
            <a:ext uri="{63B3BB69-23CF-44E3-9099-C40C66FF867C}">
              <a14:compatExt xmlns:a14="http://schemas.microsoft.com/office/drawing/2010/main" spid="_x0000_s24641"/>
            </a:ext>
            <a:ext uri="{FF2B5EF4-FFF2-40B4-BE49-F238E27FC236}">
              <a16:creationId xmlns:a16="http://schemas.microsoft.com/office/drawing/2014/main" id="{00000000-0008-0000-0200-000074010000}"/>
            </a:ext>
          </a:extLst>
        </xdr:cNvPr>
        <xdr:cNvSpPr/>
      </xdr:nvSpPr>
      <xdr:spPr>
        <a:xfrm>
          <a:off x="3457575" y="2371725"/>
          <a:ext cx="161925" cy="171450"/>
        </a:xfrm>
        <a:prstGeom prst="rect">
          <a:avLst/>
        </a:prstGeom>
      </xdr:spPr>
    </xdr:sp>
    <xdr:clientData/>
  </xdr:oneCellAnchor>
  <xdr:oneCellAnchor>
    <xdr:from>
      <xdr:col>2</xdr:col>
      <xdr:colOff>85725</xdr:colOff>
      <xdr:row>6</xdr:row>
      <xdr:rowOff>66675</xdr:rowOff>
    </xdr:from>
    <xdr:ext cx="161925" cy="171450"/>
    <xdr:sp macro="" textlink="">
      <xdr:nvSpPr>
        <xdr:cNvPr id="373" name="CheckBox3" hidden="1">
          <a:extLst>
            <a:ext uri="{63B3BB69-23CF-44E3-9099-C40C66FF867C}">
              <a14:compatExt xmlns:a14="http://schemas.microsoft.com/office/drawing/2010/main" spid="_x0000_s24617"/>
            </a:ext>
            <a:ext uri="{FF2B5EF4-FFF2-40B4-BE49-F238E27FC236}">
              <a16:creationId xmlns:a16="http://schemas.microsoft.com/office/drawing/2014/main" id="{00000000-0008-0000-0200-000075010000}"/>
            </a:ext>
          </a:extLst>
        </xdr:cNvPr>
        <xdr:cNvSpPr/>
      </xdr:nvSpPr>
      <xdr:spPr>
        <a:xfrm>
          <a:off x="3543300" y="2371725"/>
          <a:ext cx="161925" cy="171450"/>
        </a:xfrm>
        <a:prstGeom prst="rect">
          <a:avLst/>
        </a:prstGeom>
      </xdr:spPr>
    </xdr:sp>
    <xdr:clientData/>
  </xdr:oneCellAnchor>
  <xdr:oneCellAnchor>
    <xdr:from>
      <xdr:col>2</xdr:col>
      <xdr:colOff>85725</xdr:colOff>
      <xdr:row>6</xdr:row>
      <xdr:rowOff>66675</xdr:rowOff>
    </xdr:from>
    <xdr:ext cx="161925" cy="171450"/>
    <xdr:sp macro="" textlink="">
      <xdr:nvSpPr>
        <xdr:cNvPr id="374" name="CheckBox3" hidden="1">
          <a:extLst>
            <a:ext uri="{63B3BB69-23CF-44E3-9099-C40C66FF867C}">
              <a14:compatExt xmlns:a14="http://schemas.microsoft.com/office/drawing/2010/main" spid="_x0000_s24641"/>
            </a:ext>
            <a:ext uri="{FF2B5EF4-FFF2-40B4-BE49-F238E27FC236}">
              <a16:creationId xmlns:a16="http://schemas.microsoft.com/office/drawing/2014/main" id="{00000000-0008-0000-0200-000076010000}"/>
            </a:ext>
          </a:extLst>
        </xdr:cNvPr>
        <xdr:cNvSpPr/>
      </xdr:nvSpPr>
      <xdr:spPr>
        <a:xfrm>
          <a:off x="3543300" y="2371725"/>
          <a:ext cx="161925" cy="171450"/>
        </a:xfrm>
        <a:prstGeom prst="rect">
          <a:avLst/>
        </a:prstGeom>
      </xdr:spPr>
    </xdr:sp>
    <xdr:clientData/>
  </xdr:oneCellAnchor>
  <mc:AlternateContent xmlns:mc="http://schemas.openxmlformats.org/markup-compatibility/2006">
    <mc:Choice xmlns:a14="http://schemas.microsoft.com/office/drawing/2010/main" Requires="a14">
      <xdr:twoCellAnchor editAs="oneCell">
        <xdr:from>
          <xdr:col>1</xdr:col>
          <xdr:colOff>1631950</xdr:colOff>
          <xdr:row>6</xdr:row>
          <xdr:rowOff>57150</xdr:rowOff>
        </xdr:from>
        <xdr:to>
          <xdr:col>1</xdr:col>
          <xdr:colOff>2819400</xdr:colOff>
          <xdr:row>6</xdr:row>
          <xdr:rowOff>266700</xdr:rowOff>
        </xdr:to>
        <xdr:sp macro="" textlink="">
          <xdr:nvSpPr>
            <xdr:cNvPr id="25736" name="Drop Down 136" hidden="1">
              <a:extLst>
                <a:ext uri="{63B3BB69-23CF-44E3-9099-C40C66FF867C}">
                  <a14:compatExt spid="_x0000_s25736"/>
                </a:ext>
                <a:ext uri="{FF2B5EF4-FFF2-40B4-BE49-F238E27FC236}">
                  <a16:creationId xmlns:a16="http://schemas.microsoft.com/office/drawing/2014/main" id="{00000000-0008-0000-0200-000088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1631950</xdr:colOff>
          <xdr:row>6</xdr:row>
          <xdr:rowOff>57150</xdr:rowOff>
        </xdr:from>
        <xdr:to>
          <xdr:col>2</xdr:col>
          <xdr:colOff>2819400</xdr:colOff>
          <xdr:row>6</xdr:row>
          <xdr:rowOff>266700</xdr:rowOff>
        </xdr:to>
        <xdr:sp macro="" textlink="">
          <xdr:nvSpPr>
            <xdr:cNvPr id="25737" name="Drop Down 137" hidden="1">
              <a:extLst>
                <a:ext uri="{63B3BB69-23CF-44E3-9099-C40C66FF867C}">
                  <a14:compatExt spid="_x0000_s25737"/>
                </a:ext>
                <a:ext uri="{FF2B5EF4-FFF2-40B4-BE49-F238E27FC236}">
                  <a16:creationId xmlns:a16="http://schemas.microsoft.com/office/drawing/2014/main" id="{00000000-0008-0000-0200-000089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1651000</xdr:colOff>
          <xdr:row>13</xdr:row>
          <xdr:rowOff>57150</xdr:rowOff>
        </xdr:from>
        <xdr:to>
          <xdr:col>1</xdr:col>
          <xdr:colOff>2838450</xdr:colOff>
          <xdr:row>13</xdr:row>
          <xdr:rowOff>266700</xdr:rowOff>
        </xdr:to>
        <xdr:sp macro="" textlink="">
          <xdr:nvSpPr>
            <xdr:cNvPr id="25738" name="Drop Down 138" hidden="1">
              <a:extLst>
                <a:ext uri="{63B3BB69-23CF-44E3-9099-C40C66FF867C}">
                  <a14:compatExt spid="_x0000_s25738"/>
                </a:ext>
                <a:ext uri="{FF2B5EF4-FFF2-40B4-BE49-F238E27FC236}">
                  <a16:creationId xmlns:a16="http://schemas.microsoft.com/office/drawing/2014/main" id="{00000000-0008-0000-0200-00008A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1631950</xdr:colOff>
          <xdr:row>13</xdr:row>
          <xdr:rowOff>57150</xdr:rowOff>
        </xdr:from>
        <xdr:to>
          <xdr:col>2</xdr:col>
          <xdr:colOff>2819400</xdr:colOff>
          <xdr:row>13</xdr:row>
          <xdr:rowOff>260350</xdr:rowOff>
        </xdr:to>
        <xdr:sp macro="" textlink="">
          <xdr:nvSpPr>
            <xdr:cNvPr id="25739" name="Drop Down 139" hidden="1">
              <a:extLst>
                <a:ext uri="{63B3BB69-23CF-44E3-9099-C40C66FF867C}">
                  <a14:compatExt spid="_x0000_s25739"/>
                </a:ext>
                <a:ext uri="{FF2B5EF4-FFF2-40B4-BE49-F238E27FC236}">
                  <a16:creationId xmlns:a16="http://schemas.microsoft.com/office/drawing/2014/main" id="{00000000-0008-0000-0200-00008B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2438400</xdr:colOff>
          <xdr:row>2</xdr:row>
          <xdr:rowOff>88900</xdr:rowOff>
        </xdr:from>
        <xdr:to>
          <xdr:col>2</xdr:col>
          <xdr:colOff>2749550</xdr:colOff>
          <xdr:row>2</xdr:row>
          <xdr:rowOff>400050</xdr:rowOff>
        </xdr:to>
        <xdr:sp macro="" textlink="">
          <xdr:nvSpPr>
            <xdr:cNvPr id="25740" name="CommandButton2" hidden="1">
              <a:extLst>
                <a:ext uri="{63B3BB69-23CF-44E3-9099-C40C66FF867C}">
                  <a14:compatExt spid="_x0000_s25740"/>
                </a:ext>
                <a:ext uri="{FF2B5EF4-FFF2-40B4-BE49-F238E27FC236}">
                  <a16:creationId xmlns:a16="http://schemas.microsoft.com/office/drawing/2014/main" id="{00000000-0008-0000-0200-00008C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oneCellAnchor>
    <xdr:from>
      <xdr:col>2</xdr:col>
      <xdr:colOff>0</xdr:colOff>
      <xdr:row>2</xdr:row>
      <xdr:rowOff>5862</xdr:rowOff>
    </xdr:from>
    <xdr:ext cx="1196610" cy="298800"/>
    <xdr:sp macro="" textlink="">
      <xdr:nvSpPr>
        <xdr:cNvPr id="383" name="TextBox 382">
          <a:extLst>
            <a:ext uri="{FF2B5EF4-FFF2-40B4-BE49-F238E27FC236}">
              <a16:creationId xmlns:a16="http://schemas.microsoft.com/office/drawing/2014/main" id="{00000000-0008-0000-0200-00007F010000}"/>
            </a:ext>
          </a:extLst>
        </xdr:cNvPr>
        <xdr:cNvSpPr txBox="1"/>
      </xdr:nvSpPr>
      <xdr:spPr>
        <a:xfrm>
          <a:off x="2850173" y="797170"/>
          <a:ext cx="1196610" cy="29880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400">
              <a:latin typeface="Times New Roman" pitchFamily="18" charset="0"/>
              <a:cs typeface="Times New Roman" pitchFamily="18" charset="0"/>
            </a:rPr>
            <a:t>General Spec:</a:t>
          </a:r>
        </a:p>
      </xdr:txBody>
    </xdr:sp>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546100</xdr:colOff>
          <xdr:row>0</xdr:row>
          <xdr:rowOff>57150</xdr:rowOff>
        </xdr:from>
        <xdr:to>
          <xdr:col>0</xdr:col>
          <xdr:colOff>1606550</xdr:colOff>
          <xdr:row>0</xdr:row>
          <xdr:rowOff>330200</xdr:rowOff>
        </xdr:to>
        <xdr:sp macro="" textlink="">
          <xdr:nvSpPr>
            <xdr:cNvPr id="19463" name="CommandButton1" hidden="1">
              <a:extLst>
                <a:ext uri="{63B3BB69-23CF-44E3-9099-C40C66FF867C}">
                  <a14:compatExt spid="_x0000_s19463"/>
                </a:ext>
                <a:ext uri="{FF2B5EF4-FFF2-40B4-BE49-F238E27FC236}">
                  <a16:creationId xmlns:a16="http://schemas.microsoft.com/office/drawing/2014/main" id="{00000000-0008-0000-0500-00000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0</xdr:col>
      <xdr:colOff>9171428</xdr:colOff>
      <xdr:row>1048576</xdr:row>
      <xdr:rowOff>365760</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0" y="365760"/>
          <a:ext cx="9171428" cy="55626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9524</xdr:colOff>
      <xdr:row>0</xdr:row>
      <xdr:rowOff>28575</xdr:rowOff>
    </xdr:from>
    <xdr:to>
      <xdr:col>3</xdr:col>
      <xdr:colOff>238124</xdr:colOff>
      <xdr:row>0</xdr:row>
      <xdr:rowOff>571499</xdr:rowOff>
    </xdr:to>
    <xdr:pic>
      <xdr:nvPicPr>
        <xdr:cNvPr id="3" name="Picture 14" descr="C:\Documents and Settings\greg\My Documents\amilogo.jpg">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524" y="28575"/>
          <a:ext cx="2714625" cy="542924"/>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8</xdr:col>
          <xdr:colOff>50800</xdr:colOff>
          <xdr:row>2</xdr:row>
          <xdr:rowOff>31750</xdr:rowOff>
        </xdr:from>
        <xdr:to>
          <xdr:col>8</xdr:col>
          <xdr:colOff>241300</xdr:colOff>
          <xdr:row>2</xdr:row>
          <xdr:rowOff>222250</xdr:rowOff>
        </xdr:to>
        <xdr:sp macro="" textlink="">
          <xdr:nvSpPr>
            <xdr:cNvPr id="3083" name="CommandButton2" hidden="1">
              <a:extLst>
                <a:ext uri="{63B3BB69-23CF-44E3-9099-C40C66FF867C}">
                  <a14:compatExt spid="_x0000_s3083"/>
                </a:ext>
                <a:ext uri="{FF2B5EF4-FFF2-40B4-BE49-F238E27FC236}">
                  <a16:creationId xmlns:a16="http://schemas.microsoft.com/office/drawing/2014/main" id="{00000000-0008-0000-0600-00000B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933450</xdr:colOff>
          <xdr:row>8</xdr:row>
          <xdr:rowOff>38100</xdr:rowOff>
        </xdr:from>
        <xdr:to>
          <xdr:col>10</xdr:col>
          <xdr:colOff>450850</xdr:colOff>
          <xdr:row>8</xdr:row>
          <xdr:rowOff>222250</xdr:rowOff>
        </xdr:to>
        <xdr:sp macro="" textlink="">
          <xdr:nvSpPr>
            <xdr:cNvPr id="3148" name="Label15" hidden="1">
              <a:extLst>
                <a:ext uri="{63B3BB69-23CF-44E3-9099-C40C66FF867C}">
                  <a14:compatExt spid="_x0000_s3148"/>
                </a:ext>
                <a:ext uri="{FF2B5EF4-FFF2-40B4-BE49-F238E27FC236}">
                  <a16:creationId xmlns:a16="http://schemas.microsoft.com/office/drawing/2014/main" id="{00000000-0008-0000-0600-00004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393700</xdr:colOff>
          <xdr:row>8</xdr:row>
          <xdr:rowOff>12700</xdr:rowOff>
        </xdr:from>
        <xdr:to>
          <xdr:col>11</xdr:col>
          <xdr:colOff>82550</xdr:colOff>
          <xdr:row>9</xdr:row>
          <xdr:rowOff>31750</xdr:rowOff>
        </xdr:to>
        <xdr:sp macro="" textlink="">
          <xdr:nvSpPr>
            <xdr:cNvPr id="3149" name="TextBox13" hidden="1">
              <a:extLst>
                <a:ext uri="{63B3BB69-23CF-44E3-9099-C40C66FF867C}">
                  <a14:compatExt spid="_x0000_s3149"/>
                </a:ext>
                <a:ext uri="{FF2B5EF4-FFF2-40B4-BE49-F238E27FC236}">
                  <a16:creationId xmlns:a16="http://schemas.microsoft.com/office/drawing/2014/main" id="{00000000-0008-0000-0600-00004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304800</xdr:colOff>
          <xdr:row>8</xdr:row>
          <xdr:rowOff>31750</xdr:rowOff>
        </xdr:from>
        <xdr:to>
          <xdr:col>12</xdr:col>
          <xdr:colOff>50800</xdr:colOff>
          <xdr:row>8</xdr:row>
          <xdr:rowOff>209550</xdr:rowOff>
        </xdr:to>
        <xdr:sp macro="" textlink="">
          <xdr:nvSpPr>
            <xdr:cNvPr id="3150" name="Label16" hidden="1">
              <a:extLst>
                <a:ext uri="{63B3BB69-23CF-44E3-9099-C40C66FF867C}">
                  <a14:compatExt spid="_x0000_s3150"/>
                </a:ext>
                <a:ext uri="{FF2B5EF4-FFF2-40B4-BE49-F238E27FC236}">
                  <a16:creationId xmlns:a16="http://schemas.microsoft.com/office/drawing/2014/main" id="{00000000-0008-0000-0600-00004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xdr:colOff>
          <xdr:row>8</xdr:row>
          <xdr:rowOff>0</xdr:rowOff>
        </xdr:from>
        <xdr:to>
          <xdr:col>12</xdr:col>
          <xdr:colOff>781050</xdr:colOff>
          <xdr:row>9</xdr:row>
          <xdr:rowOff>19050</xdr:rowOff>
        </xdr:to>
        <xdr:sp macro="" textlink="">
          <xdr:nvSpPr>
            <xdr:cNvPr id="3151" name="TextBox14" hidden="1">
              <a:extLst>
                <a:ext uri="{63B3BB69-23CF-44E3-9099-C40C66FF867C}">
                  <a14:compatExt spid="_x0000_s3151"/>
                </a:ext>
                <a:ext uri="{FF2B5EF4-FFF2-40B4-BE49-F238E27FC236}">
                  <a16:creationId xmlns:a16="http://schemas.microsoft.com/office/drawing/2014/main" id="{00000000-0008-0000-0600-00004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933450</xdr:colOff>
          <xdr:row>10</xdr:row>
          <xdr:rowOff>38100</xdr:rowOff>
        </xdr:from>
        <xdr:to>
          <xdr:col>10</xdr:col>
          <xdr:colOff>381000</xdr:colOff>
          <xdr:row>10</xdr:row>
          <xdr:rowOff>222250</xdr:rowOff>
        </xdr:to>
        <xdr:sp macro="" textlink="">
          <xdr:nvSpPr>
            <xdr:cNvPr id="3154" name="Label1" hidden="1">
              <a:extLst>
                <a:ext uri="{63B3BB69-23CF-44E3-9099-C40C66FF867C}">
                  <a14:compatExt spid="_x0000_s3154"/>
                </a:ext>
                <a:ext uri="{FF2B5EF4-FFF2-40B4-BE49-F238E27FC236}">
                  <a16:creationId xmlns:a16="http://schemas.microsoft.com/office/drawing/2014/main" id="{00000000-0008-0000-0600-00005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393700</xdr:colOff>
          <xdr:row>10</xdr:row>
          <xdr:rowOff>12700</xdr:rowOff>
        </xdr:from>
        <xdr:to>
          <xdr:col>11</xdr:col>
          <xdr:colOff>82550</xdr:colOff>
          <xdr:row>11</xdr:row>
          <xdr:rowOff>31750</xdr:rowOff>
        </xdr:to>
        <xdr:sp macro="" textlink="">
          <xdr:nvSpPr>
            <xdr:cNvPr id="3155" name="TextBox1" hidden="1">
              <a:extLst>
                <a:ext uri="{63B3BB69-23CF-44E3-9099-C40C66FF867C}">
                  <a14:compatExt spid="_x0000_s3155"/>
                </a:ext>
                <a:ext uri="{FF2B5EF4-FFF2-40B4-BE49-F238E27FC236}">
                  <a16:creationId xmlns:a16="http://schemas.microsoft.com/office/drawing/2014/main" id="{00000000-0008-0000-0600-00005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304800</xdr:colOff>
          <xdr:row>10</xdr:row>
          <xdr:rowOff>31750</xdr:rowOff>
        </xdr:from>
        <xdr:to>
          <xdr:col>12</xdr:col>
          <xdr:colOff>12700</xdr:colOff>
          <xdr:row>10</xdr:row>
          <xdr:rowOff>209550</xdr:rowOff>
        </xdr:to>
        <xdr:sp macro="" textlink="">
          <xdr:nvSpPr>
            <xdr:cNvPr id="3156" name="Label2" hidden="1">
              <a:extLst>
                <a:ext uri="{63B3BB69-23CF-44E3-9099-C40C66FF867C}">
                  <a14:compatExt spid="_x0000_s3156"/>
                </a:ext>
                <a:ext uri="{FF2B5EF4-FFF2-40B4-BE49-F238E27FC236}">
                  <a16:creationId xmlns:a16="http://schemas.microsoft.com/office/drawing/2014/main" id="{00000000-0008-0000-0600-00005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10</xdr:row>
          <xdr:rowOff>0</xdr:rowOff>
        </xdr:from>
        <xdr:to>
          <xdr:col>12</xdr:col>
          <xdr:colOff>787400</xdr:colOff>
          <xdr:row>11</xdr:row>
          <xdr:rowOff>19050</xdr:rowOff>
        </xdr:to>
        <xdr:sp macro="" textlink="">
          <xdr:nvSpPr>
            <xdr:cNvPr id="3157" name="TextBox2" hidden="1">
              <a:extLst>
                <a:ext uri="{63B3BB69-23CF-44E3-9099-C40C66FF867C}">
                  <a14:compatExt spid="_x0000_s3157"/>
                </a:ext>
                <a:ext uri="{FF2B5EF4-FFF2-40B4-BE49-F238E27FC236}">
                  <a16:creationId xmlns:a16="http://schemas.microsoft.com/office/drawing/2014/main" id="{00000000-0008-0000-0600-00005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933450</xdr:colOff>
          <xdr:row>12</xdr:row>
          <xdr:rowOff>38100</xdr:rowOff>
        </xdr:from>
        <xdr:to>
          <xdr:col>10</xdr:col>
          <xdr:colOff>285750</xdr:colOff>
          <xdr:row>12</xdr:row>
          <xdr:rowOff>222250</xdr:rowOff>
        </xdr:to>
        <xdr:sp macro="" textlink="">
          <xdr:nvSpPr>
            <xdr:cNvPr id="3159" name="Label3" hidden="1">
              <a:extLst>
                <a:ext uri="{63B3BB69-23CF-44E3-9099-C40C66FF867C}">
                  <a14:compatExt spid="_x0000_s3159"/>
                </a:ext>
                <a:ext uri="{FF2B5EF4-FFF2-40B4-BE49-F238E27FC236}">
                  <a16:creationId xmlns:a16="http://schemas.microsoft.com/office/drawing/2014/main" id="{00000000-0008-0000-0600-00005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279400</xdr:colOff>
          <xdr:row>12</xdr:row>
          <xdr:rowOff>12700</xdr:rowOff>
        </xdr:from>
        <xdr:to>
          <xdr:col>11</xdr:col>
          <xdr:colOff>57150</xdr:colOff>
          <xdr:row>13</xdr:row>
          <xdr:rowOff>12700</xdr:rowOff>
        </xdr:to>
        <xdr:sp macro="" textlink="">
          <xdr:nvSpPr>
            <xdr:cNvPr id="3160" name="TextBox3" hidden="1">
              <a:extLst>
                <a:ext uri="{63B3BB69-23CF-44E3-9099-C40C66FF867C}">
                  <a14:compatExt spid="_x0000_s3160"/>
                </a:ext>
                <a:ext uri="{FF2B5EF4-FFF2-40B4-BE49-F238E27FC236}">
                  <a16:creationId xmlns:a16="http://schemas.microsoft.com/office/drawing/2014/main" id="{00000000-0008-0000-0600-00005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304800</xdr:colOff>
          <xdr:row>12</xdr:row>
          <xdr:rowOff>31750</xdr:rowOff>
        </xdr:from>
        <xdr:to>
          <xdr:col>11</xdr:col>
          <xdr:colOff>635000</xdr:colOff>
          <xdr:row>12</xdr:row>
          <xdr:rowOff>203200</xdr:rowOff>
        </xdr:to>
        <xdr:sp macro="" textlink="">
          <xdr:nvSpPr>
            <xdr:cNvPr id="3161" name="Label4" hidden="1">
              <a:extLst>
                <a:ext uri="{63B3BB69-23CF-44E3-9099-C40C66FF867C}">
                  <a14:compatExt spid="_x0000_s3161"/>
                </a:ext>
                <a:ext uri="{FF2B5EF4-FFF2-40B4-BE49-F238E27FC236}">
                  <a16:creationId xmlns:a16="http://schemas.microsoft.com/office/drawing/2014/main" id="{00000000-0008-0000-0600-00005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660400</xdr:colOff>
          <xdr:row>12</xdr:row>
          <xdr:rowOff>0</xdr:rowOff>
        </xdr:from>
        <xdr:to>
          <xdr:col>12</xdr:col>
          <xdr:colOff>450850</xdr:colOff>
          <xdr:row>13</xdr:row>
          <xdr:rowOff>0</xdr:rowOff>
        </xdr:to>
        <xdr:sp macro="" textlink="">
          <xdr:nvSpPr>
            <xdr:cNvPr id="3162" name="TextBox4" hidden="1">
              <a:extLst>
                <a:ext uri="{63B3BB69-23CF-44E3-9099-C40C66FF867C}">
                  <a14:compatExt spid="_x0000_s3162"/>
                </a:ext>
                <a:ext uri="{FF2B5EF4-FFF2-40B4-BE49-F238E27FC236}">
                  <a16:creationId xmlns:a16="http://schemas.microsoft.com/office/drawing/2014/main" id="{00000000-0008-0000-0600-00005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857250</xdr:colOff>
          <xdr:row>14</xdr:row>
          <xdr:rowOff>50800</xdr:rowOff>
        </xdr:from>
        <xdr:to>
          <xdr:col>10</xdr:col>
          <xdr:colOff>393700</xdr:colOff>
          <xdr:row>14</xdr:row>
          <xdr:rowOff>222250</xdr:rowOff>
        </xdr:to>
        <xdr:sp macro="" textlink="">
          <xdr:nvSpPr>
            <xdr:cNvPr id="3165" name="Label5" hidden="1">
              <a:extLst>
                <a:ext uri="{63B3BB69-23CF-44E3-9099-C40C66FF867C}">
                  <a14:compatExt spid="_x0000_s3165"/>
                </a:ext>
                <a:ext uri="{FF2B5EF4-FFF2-40B4-BE49-F238E27FC236}">
                  <a16:creationId xmlns:a16="http://schemas.microsoft.com/office/drawing/2014/main" id="{00000000-0008-0000-0600-00005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469900</xdr:colOff>
          <xdr:row>14</xdr:row>
          <xdr:rowOff>12700</xdr:rowOff>
        </xdr:from>
        <xdr:to>
          <xdr:col>11</xdr:col>
          <xdr:colOff>114300</xdr:colOff>
          <xdr:row>15</xdr:row>
          <xdr:rowOff>12700</xdr:rowOff>
        </xdr:to>
        <xdr:sp macro="" textlink="">
          <xdr:nvSpPr>
            <xdr:cNvPr id="3166" name="TextBox5" hidden="1">
              <a:extLst>
                <a:ext uri="{63B3BB69-23CF-44E3-9099-C40C66FF867C}">
                  <a14:compatExt spid="_x0000_s3166"/>
                </a:ext>
                <a:ext uri="{FF2B5EF4-FFF2-40B4-BE49-F238E27FC236}">
                  <a16:creationId xmlns:a16="http://schemas.microsoft.com/office/drawing/2014/main" id="{00000000-0008-0000-0600-00005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495300</xdr:colOff>
          <xdr:row>15</xdr:row>
          <xdr:rowOff>12700</xdr:rowOff>
        </xdr:from>
        <xdr:to>
          <xdr:col>12</xdr:col>
          <xdr:colOff>717550</xdr:colOff>
          <xdr:row>16</xdr:row>
          <xdr:rowOff>12700</xdr:rowOff>
        </xdr:to>
        <xdr:sp macro="" textlink="">
          <xdr:nvSpPr>
            <xdr:cNvPr id="3168" name="TextBox6" hidden="1">
              <a:extLst>
                <a:ext uri="{63B3BB69-23CF-44E3-9099-C40C66FF867C}">
                  <a14:compatExt spid="_x0000_s3168"/>
                </a:ext>
                <a:ext uri="{FF2B5EF4-FFF2-40B4-BE49-F238E27FC236}">
                  <a16:creationId xmlns:a16="http://schemas.microsoft.com/office/drawing/2014/main" id="{00000000-0008-0000-0600-00006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146050</xdr:colOff>
          <xdr:row>15</xdr:row>
          <xdr:rowOff>38100</xdr:rowOff>
        </xdr:from>
        <xdr:to>
          <xdr:col>11</xdr:col>
          <xdr:colOff>527050</xdr:colOff>
          <xdr:row>15</xdr:row>
          <xdr:rowOff>209550</xdr:rowOff>
        </xdr:to>
        <xdr:sp macro="" textlink="">
          <xdr:nvSpPr>
            <xdr:cNvPr id="3169" name="Label6" hidden="1">
              <a:extLst>
                <a:ext uri="{63B3BB69-23CF-44E3-9099-C40C66FF867C}">
                  <a14:compatExt spid="_x0000_s3169"/>
                </a:ext>
                <a:ext uri="{FF2B5EF4-FFF2-40B4-BE49-F238E27FC236}">
                  <a16:creationId xmlns:a16="http://schemas.microsoft.com/office/drawing/2014/main" id="{00000000-0008-0000-0600-00006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495300</xdr:colOff>
          <xdr:row>15</xdr:row>
          <xdr:rowOff>12700</xdr:rowOff>
        </xdr:from>
        <xdr:to>
          <xdr:col>12</xdr:col>
          <xdr:colOff>717550</xdr:colOff>
          <xdr:row>16</xdr:row>
          <xdr:rowOff>12700</xdr:rowOff>
        </xdr:to>
        <xdr:sp macro="" textlink="">
          <xdr:nvSpPr>
            <xdr:cNvPr id="3172" name="TextBox7" hidden="1">
              <a:extLst>
                <a:ext uri="{63B3BB69-23CF-44E3-9099-C40C66FF867C}">
                  <a14:compatExt spid="_x0000_s3172"/>
                </a:ext>
                <a:ext uri="{FF2B5EF4-FFF2-40B4-BE49-F238E27FC236}">
                  <a16:creationId xmlns:a16="http://schemas.microsoft.com/office/drawing/2014/main" id="{00000000-0008-0000-0600-00006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495300</xdr:colOff>
          <xdr:row>16</xdr:row>
          <xdr:rowOff>12700</xdr:rowOff>
        </xdr:from>
        <xdr:to>
          <xdr:col>12</xdr:col>
          <xdr:colOff>717550</xdr:colOff>
          <xdr:row>17</xdr:row>
          <xdr:rowOff>12700</xdr:rowOff>
        </xdr:to>
        <xdr:sp macro="" textlink="">
          <xdr:nvSpPr>
            <xdr:cNvPr id="3173" name="TextBox16" hidden="1">
              <a:extLst>
                <a:ext uri="{63B3BB69-23CF-44E3-9099-C40C66FF867C}">
                  <a14:compatExt spid="_x0000_s3173"/>
                </a:ext>
                <a:ext uri="{FF2B5EF4-FFF2-40B4-BE49-F238E27FC236}">
                  <a16:creationId xmlns:a16="http://schemas.microsoft.com/office/drawing/2014/main" id="{00000000-0008-0000-0600-00006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146050</xdr:colOff>
          <xdr:row>16</xdr:row>
          <xdr:rowOff>38100</xdr:rowOff>
        </xdr:from>
        <xdr:to>
          <xdr:col>11</xdr:col>
          <xdr:colOff>527050</xdr:colOff>
          <xdr:row>16</xdr:row>
          <xdr:rowOff>209550</xdr:rowOff>
        </xdr:to>
        <xdr:sp macro="" textlink="">
          <xdr:nvSpPr>
            <xdr:cNvPr id="3174" name="Label7" hidden="1">
              <a:extLst>
                <a:ext uri="{63B3BB69-23CF-44E3-9099-C40C66FF867C}">
                  <a14:compatExt spid="_x0000_s3174"/>
                </a:ext>
                <a:ext uri="{FF2B5EF4-FFF2-40B4-BE49-F238E27FC236}">
                  <a16:creationId xmlns:a16="http://schemas.microsoft.com/office/drawing/2014/main" id="{00000000-0008-0000-0600-00006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495300</xdr:colOff>
          <xdr:row>17</xdr:row>
          <xdr:rowOff>12700</xdr:rowOff>
        </xdr:from>
        <xdr:to>
          <xdr:col>12</xdr:col>
          <xdr:colOff>717550</xdr:colOff>
          <xdr:row>18</xdr:row>
          <xdr:rowOff>12700</xdr:rowOff>
        </xdr:to>
        <xdr:sp macro="" textlink="">
          <xdr:nvSpPr>
            <xdr:cNvPr id="3177" name="TextBox8" hidden="1">
              <a:extLst>
                <a:ext uri="{63B3BB69-23CF-44E3-9099-C40C66FF867C}">
                  <a14:compatExt spid="_x0000_s3177"/>
                </a:ext>
                <a:ext uri="{FF2B5EF4-FFF2-40B4-BE49-F238E27FC236}">
                  <a16:creationId xmlns:a16="http://schemas.microsoft.com/office/drawing/2014/main" id="{00000000-0008-0000-0600-00006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146050</xdr:colOff>
          <xdr:row>17</xdr:row>
          <xdr:rowOff>38100</xdr:rowOff>
        </xdr:from>
        <xdr:to>
          <xdr:col>11</xdr:col>
          <xdr:colOff>527050</xdr:colOff>
          <xdr:row>17</xdr:row>
          <xdr:rowOff>209550</xdr:rowOff>
        </xdr:to>
        <xdr:sp macro="" textlink="">
          <xdr:nvSpPr>
            <xdr:cNvPr id="3178" name="Label8" hidden="1">
              <a:extLst>
                <a:ext uri="{63B3BB69-23CF-44E3-9099-C40C66FF867C}">
                  <a14:compatExt spid="_x0000_s3178"/>
                </a:ext>
                <a:ext uri="{FF2B5EF4-FFF2-40B4-BE49-F238E27FC236}">
                  <a16:creationId xmlns:a16="http://schemas.microsoft.com/office/drawing/2014/main" id="{00000000-0008-0000-0600-00006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495300</xdr:colOff>
          <xdr:row>18</xdr:row>
          <xdr:rowOff>12700</xdr:rowOff>
        </xdr:from>
        <xdr:to>
          <xdr:col>12</xdr:col>
          <xdr:colOff>717550</xdr:colOff>
          <xdr:row>19</xdr:row>
          <xdr:rowOff>12700</xdr:rowOff>
        </xdr:to>
        <xdr:sp macro="" textlink="">
          <xdr:nvSpPr>
            <xdr:cNvPr id="3181" name="TextBox10" hidden="1">
              <a:extLst>
                <a:ext uri="{63B3BB69-23CF-44E3-9099-C40C66FF867C}">
                  <a14:compatExt spid="_x0000_s3181"/>
                </a:ext>
                <a:ext uri="{FF2B5EF4-FFF2-40B4-BE49-F238E27FC236}">
                  <a16:creationId xmlns:a16="http://schemas.microsoft.com/office/drawing/2014/main" id="{00000000-0008-0000-0600-00006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146050</xdr:colOff>
          <xdr:row>18</xdr:row>
          <xdr:rowOff>38100</xdr:rowOff>
        </xdr:from>
        <xdr:to>
          <xdr:col>11</xdr:col>
          <xdr:colOff>527050</xdr:colOff>
          <xdr:row>18</xdr:row>
          <xdr:rowOff>209550</xdr:rowOff>
        </xdr:to>
        <xdr:sp macro="" textlink="">
          <xdr:nvSpPr>
            <xdr:cNvPr id="3182" name="Label9" hidden="1">
              <a:extLst>
                <a:ext uri="{63B3BB69-23CF-44E3-9099-C40C66FF867C}">
                  <a14:compatExt spid="_x0000_s3182"/>
                </a:ext>
                <a:ext uri="{FF2B5EF4-FFF2-40B4-BE49-F238E27FC236}">
                  <a16:creationId xmlns:a16="http://schemas.microsoft.com/office/drawing/2014/main" id="{00000000-0008-0000-0600-00006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933450</xdr:colOff>
          <xdr:row>19</xdr:row>
          <xdr:rowOff>38100</xdr:rowOff>
        </xdr:from>
        <xdr:to>
          <xdr:col>10</xdr:col>
          <xdr:colOff>273050</xdr:colOff>
          <xdr:row>19</xdr:row>
          <xdr:rowOff>209550</xdr:rowOff>
        </xdr:to>
        <xdr:sp macro="" textlink="">
          <xdr:nvSpPr>
            <xdr:cNvPr id="3185" name="Label10" hidden="1">
              <a:extLst>
                <a:ext uri="{63B3BB69-23CF-44E3-9099-C40C66FF867C}">
                  <a14:compatExt spid="_x0000_s3185"/>
                </a:ext>
                <a:ext uri="{FF2B5EF4-FFF2-40B4-BE49-F238E27FC236}">
                  <a16:creationId xmlns:a16="http://schemas.microsoft.com/office/drawing/2014/main" id="{00000000-0008-0000-0600-00007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19</xdr:row>
          <xdr:rowOff>12700</xdr:rowOff>
        </xdr:from>
        <xdr:to>
          <xdr:col>11</xdr:col>
          <xdr:colOff>25400</xdr:colOff>
          <xdr:row>20</xdr:row>
          <xdr:rowOff>12700</xdr:rowOff>
        </xdr:to>
        <xdr:sp macro="" textlink="">
          <xdr:nvSpPr>
            <xdr:cNvPr id="3186" name="TextBox12" hidden="1">
              <a:extLst>
                <a:ext uri="{63B3BB69-23CF-44E3-9099-C40C66FF867C}">
                  <a14:compatExt spid="_x0000_s3186"/>
                </a:ext>
                <a:ext uri="{FF2B5EF4-FFF2-40B4-BE49-F238E27FC236}">
                  <a16:creationId xmlns:a16="http://schemas.microsoft.com/office/drawing/2014/main" id="{00000000-0008-0000-0600-00007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304800</xdr:colOff>
          <xdr:row>19</xdr:row>
          <xdr:rowOff>31750</xdr:rowOff>
        </xdr:from>
        <xdr:to>
          <xdr:col>11</xdr:col>
          <xdr:colOff>685800</xdr:colOff>
          <xdr:row>20</xdr:row>
          <xdr:rowOff>6350</xdr:rowOff>
        </xdr:to>
        <xdr:sp macro="" textlink="">
          <xdr:nvSpPr>
            <xdr:cNvPr id="3187" name="Label11" hidden="1">
              <a:extLst>
                <a:ext uri="{63B3BB69-23CF-44E3-9099-C40C66FF867C}">
                  <a14:compatExt spid="_x0000_s3187"/>
                </a:ext>
                <a:ext uri="{FF2B5EF4-FFF2-40B4-BE49-F238E27FC236}">
                  <a16:creationId xmlns:a16="http://schemas.microsoft.com/office/drawing/2014/main" id="{00000000-0008-0000-0600-00007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660400</xdr:colOff>
          <xdr:row>19</xdr:row>
          <xdr:rowOff>0</xdr:rowOff>
        </xdr:from>
        <xdr:to>
          <xdr:col>12</xdr:col>
          <xdr:colOff>450850</xdr:colOff>
          <xdr:row>20</xdr:row>
          <xdr:rowOff>0</xdr:rowOff>
        </xdr:to>
        <xdr:sp macro="" textlink="">
          <xdr:nvSpPr>
            <xdr:cNvPr id="3188" name="TextBox15" hidden="1">
              <a:extLst>
                <a:ext uri="{63B3BB69-23CF-44E3-9099-C40C66FF867C}">
                  <a14:compatExt spid="_x0000_s3188"/>
                </a:ext>
                <a:ext uri="{FF2B5EF4-FFF2-40B4-BE49-F238E27FC236}">
                  <a16:creationId xmlns:a16="http://schemas.microsoft.com/office/drawing/2014/main" id="{00000000-0008-0000-0600-00007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495300</xdr:colOff>
          <xdr:row>20</xdr:row>
          <xdr:rowOff>12700</xdr:rowOff>
        </xdr:from>
        <xdr:to>
          <xdr:col>12</xdr:col>
          <xdr:colOff>717550</xdr:colOff>
          <xdr:row>21</xdr:row>
          <xdr:rowOff>12700</xdr:rowOff>
        </xdr:to>
        <xdr:sp macro="" textlink="">
          <xdr:nvSpPr>
            <xdr:cNvPr id="3189" name="TextBox9" hidden="1">
              <a:extLst>
                <a:ext uri="{63B3BB69-23CF-44E3-9099-C40C66FF867C}">
                  <a14:compatExt spid="_x0000_s3189"/>
                </a:ext>
                <a:ext uri="{FF2B5EF4-FFF2-40B4-BE49-F238E27FC236}">
                  <a16:creationId xmlns:a16="http://schemas.microsoft.com/office/drawing/2014/main" id="{00000000-0008-0000-0600-00007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146050</xdr:colOff>
          <xdr:row>20</xdr:row>
          <xdr:rowOff>38100</xdr:rowOff>
        </xdr:from>
        <xdr:to>
          <xdr:col>11</xdr:col>
          <xdr:colOff>527050</xdr:colOff>
          <xdr:row>20</xdr:row>
          <xdr:rowOff>209550</xdr:rowOff>
        </xdr:to>
        <xdr:sp macro="" textlink="">
          <xdr:nvSpPr>
            <xdr:cNvPr id="3190" name="Label13" hidden="1">
              <a:extLst>
                <a:ext uri="{63B3BB69-23CF-44E3-9099-C40C66FF867C}">
                  <a14:compatExt spid="_x0000_s3190"/>
                </a:ext>
                <a:ext uri="{FF2B5EF4-FFF2-40B4-BE49-F238E27FC236}">
                  <a16:creationId xmlns:a16="http://schemas.microsoft.com/office/drawing/2014/main" id="{00000000-0008-0000-0600-00007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876300</xdr:colOff>
          <xdr:row>22</xdr:row>
          <xdr:rowOff>50800</xdr:rowOff>
        </xdr:from>
        <xdr:to>
          <xdr:col>10</xdr:col>
          <xdr:colOff>101600</xdr:colOff>
          <xdr:row>22</xdr:row>
          <xdr:rowOff>222250</xdr:rowOff>
        </xdr:to>
        <xdr:sp macro="" textlink="">
          <xdr:nvSpPr>
            <xdr:cNvPr id="3194" name="Label12" hidden="1">
              <a:extLst>
                <a:ext uri="{63B3BB69-23CF-44E3-9099-C40C66FF867C}">
                  <a14:compatExt spid="_x0000_s3194"/>
                </a:ext>
                <a:ext uri="{FF2B5EF4-FFF2-40B4-BE49-F238E27FC236}">
                  <a16:creationId xmlns:a16="http://schemas.microsoft.com/office/drawing/2014/main" id="{00000000-0008-0000-0600-00007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22</xdr:row>
          <xdr:rowOff>12700</xdr:rowOff>
        </xdr:from>
        <xdr:to>
          <xdr:col>10</xdr:col>
          <xdr:colOff>876300</xdr:colOff>
          <xdr:row>23</xdr:row>
          <xdr:rowOff>12700</xdr:rowOff>
        </xdr:to>
        <xdr:sp macro="" textlink="">
          <xdr:nvSpPr>
            <xdr:cNvPr id="3195" name="TextBox17" hidden="1">
              <a:extLst>
                <a:ext uri="{63B3BB69-23CF-44E3-9099-C40C66FF867C}">
                  <a14:compatExt spid="_x0000_s3195"/>
                </a:ext>
                <a:ext uri="{FF2B5EF4-FFF2-40B4-BE49-F238E27FC236}">
                  <a16:creationId xmlns:a16="http://schemas.microsoft.com/office/drawing/2014/main" id="{00000000-0008-0000-0600-00007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323850</xdr:colOff>
          <xdr:row>26</xdr:row>
          <xdr:rowOff>0</xdr:rowOff>
        </xdr:from>
        <xdr:to>
          <xdr:col>11</xdr:col>
          <xdr:colOff>533400</xdr:colOff>
          <xdr:row>27</xdr:row>
          <xdr:rowOff>0</xdr:rowOff>
        </xdr:to>
        <xdr:sp macro="" textlink="">
          <xdr:nvSpPr>
            <xdr:cNvPr id="3199" name="TextBox11" hidden="1">
              <a:extLst>
                <a:ext uri="{63B3BB69-23CF-44E3-9099-C40C66FF867C}">
                  <a14:compatExt spid="_x0000_s3199"/>
                </a:ext>
                <a:ext uri="{FF2B5EF4-FFF2-40B4-BE49-F238E27FC236}">
                  <a16:creationId xmlns:a16="http://schemas.microsoft.com/office/drawing/2014/main" id="{00000000-0008-0000-0600-00007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1079500</xdr:colOff>
          <xdr:row>26</xdr:row>
          <xdr:rowOff>31750</xdr:rowOff>
        </xdr:from>
        <xdr:to>
          <xdr:col>10</xdr:col>
          <xdr:colOff>304800</xdr:colOff>
          <xdr:row>26</xdr:row>
          <xdr:rowOff>203200</xdr:rowOff>
        </xdr:to>
        <xdr:sp macro="" textlink="">
          <xdr:nvSpPr>
            <xdr:cNvPr id="3200" name="Label14" hidden="1">
              <a:extLst>
                <a:ext uri="{63B3BB69-23CF-44E3-9099-C40C66FF867C}">
                  <a14:compatExt spid="_x0000_s3200"/>
                </a:ext>
                <a:ext uri="{FF2B5EF4-FFF2-40B4-BE49-F238E27FC236}">
                  <a16:creationId xmlns:a16="http://schemas.microsoft.com/office/drawing/2014/main" id="{00000000-0008-0000-0600-00008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762000</xdr:colOff>
          <xdr:row>26</xdr:row>
          <xdr:rowOff>222250</xdr:rowOff>
        </xdr:from>
        <xdr:to>
          <xdr:col>12</xdr:col>
          <xdr:colOff>330200</xdr:colOff>
          <xdr:row>27</xdr:row>
          <xdr:rowOff>222250</xdr:rowOff>
        </xdr:to>
        <xdr:sp macro="" textlink="">
          <xdr:nvSpPr>
            <xdr:cNvPr id="3202" name="TextBox18" hidden="1">
              <a:extLst>
                <a:ext uri="{63B3BB69-23CF-44E3-9099-C40C66FF867C}">
                  <a14:compatExt spid="_x0000_s3202"/>
                </a:ext>
                <a:ext uri="{FF2B5EF4-FFF2-40B4-BE49-F238E27FC236}">
                  <a16:creationId xmlns:a16="http://schemas.microsoft.com/office/drawing/2014/main" id="{00000000-0008-0000-0600-00008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762000</xdr:colOff>
          <xdr:row>28</xdr:row>
          <xdr:rowOff>0</xdr:rowOff>
        </xdr:from>
        <xdr:to>
          <xdr:col>12</xdr:col>
          <xdr:colOff>330200</xdr:colOff>
          <xdr:row>29</xdr:row>
          <xdr:rowOff>0</xdr:rowOff>
        </xdr:to>
        <xdr:sp macro="" textlink="">
          <xdr:nvSpPr>
            <xdr:cNvPr id="3206" name="TextBox19" hidden="1">
              <a:extLst>
                <a:ext uri="{63B3BB69-23CF-44E3-9099-C40C66FF867C}">
                  <a14:compatExt spid="_x0000_s3206"/>
                </a:ext>
                <a:ext uri="{FF2B5EF4-FFF2-40B4-BE49-F238E27FC236}">
                  <a16:creationId xmlns:a16="http://schemas.microsoft.com/office/drawing/2014/main" id="{00000000-0008-0000-0600-00008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762000</xdr:colOff>
          <xdr:row>29</xdr:row>
          <xdr:rowOff>0</xdr:rowOff>
        </xdr:from>
        <xdr:to>
          <xdr:col>12</xdr:col>
          <xdr:colOff>330200</xdr:colOff>
          <xdr:row>30</xdr:row>
          <xdr:rowOff>0</xdr:rowOff>
        </xdr:to>
        <xdr:sp macro="" textlink="">
          <xdr:nvSpPr>
            <xdr:cNvPr id="3207" name="TextBox20" hidden="1">
              <a:extLst>
                <a:ext uri="{63B3BB69-23CF-44E3-9099-C40C66FF867C}">
                  <a14:compatExt spid="_x0000_s3207"/>
                </a:ext>
                <a:ext uri="{FF2B5EF4-FFF2-40B4-BE49-F238E27FC236}">
                  <a16:creationId xmlns:a16="http://schemas.microsoft.com/office/drawing/2014/main" id="{00000000-0008-0000-0600-00008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762000</xdr:colOff>
          <xdr:row>30</xdr:row>
          <xdr:rowOff>0</xdr:rowOff>
        </xdr:from>
        <xdr:to>
          <xdr:col>12</xdr:col>
          <xdr:colOff>330200</xdr:colOff>
          <xdr:row>30</xdr:row>
          <xdr:rowOff>222250</xdr:rowOff>
        </xdr:to>
        <xdr:sp macro="" textlink="">
          <xdr:nvSpPr>
            <xdr:cNvPr id="3208" name="TextBox21" hidden="1">
              <a:extLst>
                <a:ext uri="{63B3BB69-23CF-44E3-9099-C40C66FF867C}">
                  <a14:compatExt spid="_x0000_s3208"/>
                </a:ext>
                <a:ext uri="{FF2B5EF4-FFF2-40B4-BE49-F238E27FC236}">
                  <a16:creationId xmlns:a16="http://schemas.microsoft.com/office/drawing/2014/main" id="{00000000-0008-0000-0600-00008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666750</xdr:colOff>
          <xdr:row>1</xdr:row>
          <xdr:rowOff>203200</xdr:rowOff>
        </xdr:from>
        <xdr:to>
          <xdr:col>12</xdr:col>
          <xdr:colOff>736600</xdr:colOff>
          <xdr:row>3</xdr:row>
          <xdr:rowOff>19050</xdr:rowOff>
        </xdr:to>
        <xdr:sp macro="" textlink="">
          <xdr:nvSpPr>
            <xdr:cNvPr id="3209" name="CheckBox1" hidden="1">
              <a:extLst>
                <a:ext uri="{63B3BB69-23CF-44E3-9099-C40C66FF867C}">
                  <a14:compatExt spid="_x0000_s3209"/>
                </a:ext>
                <a:ext uri="{FF2B5EF4-FFF2-40B4-BE49-F238E27FC236}">
                  <a16:creationId xmlns:a16="http://schemas.microsoft.com/office/drawing/2014/main" id="{00000000-0008-0000-0600-000089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1085850</xdr:colOff>
          <xdr:row>3</xdr:row>
          <xdr:rowOff>19050</xdr:rowOff>
        </xdr:from>
        <xdr:to>
          <xdr:col>11</xdr:col>
          <xdr:colOff>222250</xdr:colOff>
          <xdr:row>4</xdr:row>
          <xdr:rowOff>25400</xdr:rowOff>
        </xdr:to>
        <xdr:sp macro="" textlink="">
          <xdr:nvSpPr>
            <xdr:cNvPr id="3211" name="TextBox22" hidden="1">
              <a:extLst>
                <a:ext uri="{63B3BB69-23CF-44E3-9099-C40C66FF867C}">
                  <a14:compatExt spid="_x0000_s3211"/>
                </a:ext>
                <a:ext uri="{FF2B5EF4-FFF2-40B4-BE49-F238E27FC236}">
                  <a16:creationId xmlns:a16="http://schemas.microsoft.com/office/drawing/2014/main" id="{00000000-0008-0000-0600-00008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3</xdr:row>
          <xdr:rowOff>31750</xdr:rowOff>
        </xdr:from>
        <xdr:to>
          <xdr:col>8</xdr:col>
          <xdr:colOff>241300</xdr:colOff>
          <xdr:row>3</xdr:row>
          <xdr:rowOff>222250</xdr:rowOff>
        </xdr:to>
        <xdr:sp macro="" textlink="">
          <xdr:nvSpPr>
            <xdr:cNvPr id="3212" name="CommandButton3" hidden="1">
              <a:extLst>
                <a:ext uri="{63B3BB69-23CF-44E3-9099-C40C66FF867C}">
                  <a14:compatExt spid="_x0000_s3212"/>
                </a:ext>
                <a:ext uri="{FF2B5EF4-FFF2-40B4-BE49-F238E27FC236}">
                  <a16:creationId xmlns:a16="http://schemas.microsoft.com/office/drawing/2014/main" id="{00000000-0008-0000-0600-00008C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4</xdr:row>
          <xdr:rowOff>31750</xdr:rowOff>
        </xdr:from>
        <xdr:to>
          <xdr:col>8</xdr:col>
          <xdr:colOff>241300</xdr:colOff>
          <xdr:row>4</xdr:row>
          <xdr:rowOff>222250</xdr:rowOff>
        </xdr:to>
        <xdr:sp macro="" textlink="">
          <xdr:nvSpPr>
            <xdr:cNvPr id="3213" name="CommandButton4" hidden="1">
              <a:extLst>
                <a:ext uri="{63B3BB69-23CF-44E3-9099-C40C66FF867C}">
                  <a14:compatExt spid="_x0000_s3213"/>
                </a:ext>
                <a:ext uri="{FF2B5EF4-FFF2-40B4-BE49-F238E27FC236}">
                  <a16:creationId xmlns:a16="http://schemas.microsoft.com/office/drawing/2014/main" id="{00000000-0008-0000-0600-00008D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5</xdr:row>
          <xdr:rowOff>31750</xdr:rowOff>
        </xdr:from>
        <xdr:to>
          <xdr:col>8</xdr:col>
          <xdr:colOff>241300</xdr:colOff>
          <xdr:row>5</xdr:row>
          <xdr:rowOff>222250</xdr:rowOff>
        </xdr:to>
        <xdr:sp macro="" textlink="">
          <xdr:nvSpPr>
            <xdr:cNvPr id="3214" name="CommandButton5" hidden="1">
              <a:extLst>
                <a:ext uri="{63B3BB69-23CF-44E3-9099-C40C66FF867C}">
                  <a14:compatExt spid="_x0000_s3214"/>
                </a:ext>
                <a:ext uri="{FF2B5EF4-FFF2-40B4-BE49-F238E27FC236}">
                  <a16:creationId xmlns:a16="http://schemas.microsoft.com/office/drawing/2014/main" id="{00000000-0008-0000-0600-00008E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7</xdr:row>
          <xdr:rowOff>31750</xdr:rowOff>
        </xdr:from>
        <xdr:to>
          <xdr:col>8</xdr:col>
          <xdr:colOff>241300</xdr:colOff>
          <xdr:row>7</xdr:row>
          <xdr:rowOff>222250</xdr:rowOff>
        </xdr:to>
        <xdr:sp macro="" textlink="">
          <xdr:nvSpPr>
            <xdr:cNvPr id="3216" name="CommandButton7" hidden="1">
              <a:extLst>
                <a:ext uri="{63B3BB69-23CF-44E3-9099-C40C66FF867C}">
                  <a14:compatExt spid="_x0000_s3216"/>
                </a:ext>
                <a:ext uri="{FF2B5EF4-FFF2-40B4-BE49-F238E27FC236}">
                  <a16:creationId xmlns:a16="http://schemas.microsoft.com/office/drawing/2014/main" id="{00000000-0008-0000-0600-000090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8</xdr:row>
          <xdr:rowOff>31750</xdr:rowOff>
        </xdr:from>
        <xdr:to>
          <xdr:col>8</xdr:col>
          <xdr:colOff>241300</xdr:colOff>
          <xdr:row>8</xdr:row>
          <xdr:rowOff>222250</xdr:rowOff>
        </xdr:to>
        <xdr:sp macro="" textlink="">
          <xdr:nvSpPr>
            <xdr:cNvPr id="3217" name="CommandButton8" hidden="1">
              <a:extLst>
                <a:ext uri="{63B3BB69-23CF-44E3-9099-C40C66FF867C}">
                  <a14:compatExt spid="_x0000_s3217"/>
                </a:ext>
                <a:ext uri="{FF2B5EF4-FFF2-40B4-BE49-F238E27FC236}">
                  <a16:creationId xmlns:a16="http://schemas.microsoft.com/office/drawing/2014/main" id="{00000000-0008-0000-0600-000091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9</xdr:row>
          <xdr:rowOff>31750</xdr:rowOff>
        </xdr:from>
        <xdr:to>
          <xdr:col>8</xdr:col>
          <xdr:colOff>241300</xdr:colOff>
          <xdr:row>9</xdr:row>
          <xdr:rowOff>222250</xdr:rowOff>
        </xdr:to>
        <xdr:sp macro="" textlink="">
          <xdr:nvSpPr>
            <xdr:cNvPr id="3218" name="CommandButton9" hidden="1">
              <a:extLst>
                <a:ext uri="{63B3BB69-23CF-44E3-9099-C40C66FF867C}">
                  <a14:compatExt spid="_x0000_s3218"/>
                </a:ext>
                <a:ext uri="{FF2B5EF4-FFF2-40B4-BE49-F238E27FC236}">
                  <a16:creationId xmlns:a16="http://schemas.microsoft.com/office/drawing/2014/main" id="{00000000-0008-0000-0600-00009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10</xdr:row>
          <xdr:rowOff>31750</xdr:rowOff>
        </xdr:from>
        <xdr:to>
          <xdr:col>8</xdr:col>
          <xdr:colOff>241300</xdr:colOff>
          <xdr:row>10</xdr:row>
          <xdr:rowOff>222250</xdr:rowOff>
        </xdr:to>
        <xdr:sp macro="" textlink="">
          <xdr:nvSpPr>
            <xdr:cNvPr id="3219" name="CommandButton10" hidden="1">
              <a:extLst>
                <a:ext uri="{63B3BB69-23CF-44E3-9099-C40C66FF867C}">
                  <a14:compatExt spid="_x0000_s3219"/>
                </a:ext>
                <a:ext uri="{FF2B5EF4-FFF2-40B4-BE49-F238E27FC236}">
                  <a16:creationId xmlns:a16="http://schemas.microsoft.com/office/drawing/2014/main" id="{00000000-0008-0000-0600-000093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11</xdr:row>
          <xdr:rowOff>31750</xdr:rowOff>
        </xdr:from>
        <xdr:to>
          <xdr:col>8</xdr:col>
          <xdr:colOff>241300</xdr:colOff>
          <xdr:row>11</xdr:row>
          <xdr:rowOff>222250</xdr:rowOff>
        </xdr:to>
        <xdr:sp macro="" textlink="">
          <xdr:nvSpPr>
            <xdr:cNvPr id="3220" name="CommandButton11" hidden="1">
              <a:extLst>
                <a:ext uri="{63B3BB69-23CF-44E3-9099-C40C66FF867C}">
                  <a14:compatExt spid="_x0000_s3220"/>
                </a:ext>
                <a:ext uri="{FF2B5EF4-FFF2-40B4-BE49-F238E27FC236}">
                  <a16:creationId xmlns:a16="http://schemas.microsoft.com/office/drawing/2014/main" id="{00000000-0008-0000-0600-000094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12</xdr:row>
          <xdr:rowOff>50800</xdr:rowOff>
        </xdr:from>
        <xdr:to>
          <xdr:col>8</xdr:col>
          <xdr:colOff>241300</xdr:colOff>
          <xdr:row>13</xdr:row>
          <xdr:rowOff>12700</xdr:rowOff>
        </xdr:to>
        <xdr:sp macro="" textlink="">
          <xdr:nvSpPr>
            <xdr:cNvPr id="3221" name="CommandButton12" hidden="1">
              <a:extLst>
                <a:ext uri="{63B3BB69-23CF-44E3-9099-C40C66FF867C}">
                  <a14:compatExt spid="_x0000_s3221"/>
                </a:ext>
                <a:ext uri="{FF2B5EF4-FFF2-40B4-BE49-F238E27FC236}">
                  <a16:creationId xmlns:a16="http://schemas.microsoft.com/office/drawing/2014/main" id="{00000000-0008-0000-0600-000095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14</xdr:row>
          <xdr:rowOff>19050</xdr:rowOff>
        </xdr:from>
        <xdr:to>
          <xdr:col>8</xdr:col>
          <xdr:colOff>241300</xdr:colOff>
          <xdr:row>14</xdr:row>
          <xdr:rowOff>209550</xdr:rowOff>
        </xdr:to>
        <xdr:sp macro="" textlink="">
          <xdr:nvSpPr>
            <xdr:cNvPr id="3223" name="CommandButton14" hidden="1">
              <a:extLst>
                <a:ext uri="{63B3BB69-23CF-44E3-9099-C40C66FF867C}">
                  <a14:compatExt spid="_x0000_s3223"/>
                </a:ext>
                <a:ext uri="{FF2B5EF4-FFF2-40B4-BE49-F238E27FC236}">
                  <a16:creationId xmlns:a16="http://schemas.microsoft.com/office/drawing/2014/main" id="{00000000-0008-0000-0600-000097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15</xdr:row>
          <xdr:rowOff>19050</xdr:rowOff>
        </xdr:from>
        <xdr:to>
          <xdr:col>8</xdr:col>
          <xdr:colOff>241300</xdr:colOff>
          <xdr:row>15</xdr:row>
          <xdr:rowOff>209550</xdr:rowOff>
        </xdr:to>
        <xdr:sp macro="" textlink="">
          <xdr:nvSpPr>
            <xdr:cNvPr id="3224" name="CommandButton15" hidden="1">
              <a:extLst>
                <a:ext uri="{63B3BB69-23CF-44E3-9099-C40C66FF867C}">
                  <a14:compatExt spid="_x0000_s3224"/>
                </a:ext>
                <a:ext uri="{FF2B5EF4-FFF2-40B4-BE49-F238E27FC236}">
                  <a16:creationId xmlns:a16="http://schemas.microsoft.com/office/drawing/2014/main" id="{00000000-0008-0000-0600-000098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16</xdr:row>
          <xdr:rowOff>50800</xdr:rowOff>
        </xdr:from>
        <xdr:to>
          <xdr:col>8</xdr:col>
          <xdr:colOff>241300</xdr:colOff>
          <xdr:row>17</xdr:row>
          <xdr:rowOff>12700</xdr:rowOff>
        </xdr:to>
        <xdr:sp macro="" textlink="">
          <xdr:nvSpPr>
            <xdr:cNvPr id="3225" name="CommandButton16" hidden="1">
              <a:extLst>
                <a:ext uri="{63B3BB69-23CF-44E3-9099-C40C66FF867C}">
                  <a14:compatExt spid="_x0000_s3225"/>
                </a:ext>
                <a:ext uri="{FF2B5EF4-FFF2-40B4-BE49-F238E27FC236}">
                  <a16:creationId xmlns:a16="http://schemas.microsoft.com/office/drawing/2014/main" id="{00000000-0008-0000-0600-000099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17</xdr:row>
          <xdr:rowOff>50800</xdr:rowOff>
        </xdr:from>
        <xdr:to>
          <xdr:col>8</xdr:col>
          <xdr:colOff>241300</xdr:colOff>
          <xdr:row>18</xdr:row>
          <xdr:rowOff>12700</xdr:rowOff>
        </xdr:to>
        <xdr:sp macro="" textlink="">
          <xdr:nvSpPr>
            <xdr:cNvPr id="3226" name="CommandButton17" hidden="1">
              <a:extLst>
                <a:ext uri="{63B3BB69-23CF-44E3-9099-C40C66FF867C}">
                  <a14:compatExt spid="_x0000_s3226"/>
                </a:ext>
                <a:ext uri="{FF2B5EF4-FFF2-40B4-BE49-F238E27FC236}">
                  <a16:creationId xmlns:a16="http://schemas.microsoft.com/office/drawing/2014/main" id="{00000000-0008-0000-0600-00009A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18</xdr:row>
          <xdr:rowOff>50800</xdr:rowOff>
        </xdr:from>
        <xdr:to>
          <xdr:col>8</xdr:col>
          <xdr:colOff>241300</xdr:colOff>
          <xdr:row>19</xdr:row>
          <xdr:rowOff>12700</xdr:rowOff>
        </xdr:to>
        <xdr:sp macro="" textlink="">
          <xdr:nvSpPr>
            <xdr:cNvPr id="3227" name="CommandButton18" hidden="1">
              <a:extLst>
                <a:ext uri="{63B3BB69-23CF-44E3-9099-C40C66FF867C}">
                  <a14:compatExt spid="_x0000_s3227"/>
                </a:ext>
                <a:ext uri="{FF2B5EF4-FFF2-40B4-BE49-F238E27FC236}">
                  <a16:creationId xmlns:a16="http://schemas.microsoft.com/office/drawing/2014/main" id="{00000000-0008-0000-0600-00009B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19</xdr:row>
          <xdr:rowOff>50800</xdr:rowOff>
        </xdr:from>
        <xdr:to>
          <xdr:col>8</xdr:col>
          <xdr:colOff>241300</xdr:colOff>
          <xdr:row>20</xdr:row>
          <xdr:rowOff>12700</xdr:rowOff>
        </xdr:to>
        <xdr:sp macro="" textlink="">
          <xdr:nvSpPr>
            <xdr:cNvPr id="3228" name="CommandButton19" hidden="1">
              <a:extLst>
                <a:ext uri="{63B3BB69-23CF-44E3-9099-C40C66FF867C}">
                  <a14:compatExt spid="_x0000_s3228"/>
                </a:ext>
                <a:ext uri="{FF2B5EF4-FFF2-40B4-BE49-F238E27FC236}">
                  <a16:creationId xmlns:a16="http://schemas.microsoft.com/office/drawing/2014/main" id="{00000000-0008-0000-0600-00009C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20</xdr:row>
          <xdr:rowOff>50800</xdr:rowOff>
        </xdr:from>
        <xdr:to>
          <xdr:col>8</xdr:col>
          <xdr:colOff>241300</xdr:colOff>
          <xdr:row>21</xdr:row>
          <xdr:rowOff>12700</xdr:rowOff>
        </xdr:to>
        <xdr:sp macro="" textlink="">
          <xdr:nvSpPr>
            <xdr:cNvPr id="3229" name="CommandButton20" hidden="1">
              <a:extLst>
                <a:ext uri="{63B3BB69-23CF-44E3-9099-C40C66FF867C}">
                  <a14:compatExt spid="_x0000_s3229"/>
                </a:ext>
                <a:ext uri="{FF2B5EF4-FFF2-40B4-BE49-F238E27FC236}">
                  <a16:creationId xmlns:a16="http://schemas.microsoft.com/office/drawing/2014/main" id="{00000000-0008-0000-0600-00009D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21</xdr:row>
          <xdr:rowOff>50800</xdr:rowOff>
        </xdr:from>
        <xdr:to>
          <xdr:col>8</xdr:col>
          <xdr:colOff>241300</xdr:colOff>
          <xdr:row>22</xdr:row>
          <xdr:rowOff>12700</xdr:rowOff>
        </xdr:to>
        <xdr:sp macro="" textlink="">
          <xdr:nvSpPr>
            <xdr:cNvPr id="3230" name="CommandButton21" hidden="1">
              <a:extLst>
                <a:ext uri="{63B3BB69-23CF-44E3-9099-C40C66FF867C}">
                  <a14:compatExt spid="_x0000_s3230"/>
                </a:ext>
                <a:ext uri="{FF2B5EF4-FFF2-40B4-BE49-F238E27FC236}">
                  <a16:creationId xmlns:a16="http://schemas.microsoft.com/office/drawing/2014/main" id="{00000000-0008-0000-0600-00009E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22</xdr:row>
          <xdr:rowOff>50800</xdr:rowOff>
        </xdr:from>
        <xdr:to>
          <xdr:col>8</xdr:col>
          <xdr:colOff>241300</xdr:colOff>
          <xdr:row>23</xdr:row>
          <xdr:rowOff>12700</xdr:rowOff>
        </xdr:to>
        <xdr:sp macro="" textlink="">
          <xdr:nvSpPr>
            <xdr:cNvPr id="3231" name="CommandButton22" hidden="1">
              <a:extLst>
                <a:ext uri="{63B3BB69-23CF-44E3-9099-C40C66FF867C}">
                  <a14:compatExt spid="_x0000_s3231"/>
                </a:ext>
                <a:ext uri="{FF2B5EF4-FFF2-40B4-BE49-F238E27FC236}">
                  <a16:creationId xmlns:a16="http://schemas.microsoft.com/office/drawing/2014/main" id="{00000000-0008-0000-0600-00009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23</xdr:row>
          <xdr:rowOff>50800</xdr:rowOff>
        </xdr:from>
        <xdr:to>
          <xdr:col>8</xdr:col>
          <xdr:colOff>241300</xdr:colOff>
          <xdr:row>24</xdr:row>
          <xdr:rowOff>12700</xdr:rowOff>
        </xdr:to>
        <xdr:sp macro="" textlink="">
          <xdr:nvSpPr>
            <xdr:cNvPr id="3232" name="CommandButton23" hidden="1">
              <a:extLst>
                <a:ext uri="{63B3BB69-23CF-44E3-9099-C40C66FF867C}">
                  <a14:compatExt spid="_x0000_s3232"/>
                </a:ext>
                <a:ext uri="{FF2B5EF4-FFF2-40B4-BE49-F238E27FC236}">
                  <a16:creationId xmlns:a16="http://schemas.microsoft.com/office/drawing/2014/main" id="{00000000-0008-0000-0600-0000A0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24</xdr:row>
          <xdr:rowOff>50800</xdr:rowOff>
        </xdr:from>
        <xdr:to>
          <xdr:col>8</xdr:col>
          <xdr:colOff>241300</xdr:colOff>
          <xdr:row>25</xdr:row>
          <xdr:rowOff>12700</xdr:rowOff>
        </xdr:to>
        <xdr:sp macro="" textlink="">
          <xdr:nvSpPr>
            <xdr:cNvPr id="3233" name="CommandButton24" hidden="1">
              <a:extLst>
                <a:ext uri="{63B3BB69-23CF-44E3-9099-C40C66FF867C}">
                  <a14:compatExt spid="_x0000_s3233"/>
                </a:ext>
                <a:ext uri="{FF2B5EF4-FFF2-40B4-BE49-F238E27FC236}">
                  <a16:creationId xmlns:a16="http://schemas.microsoft.com/office/drawing/2014/main" id="{00000000-0008-0000-0600-0000A1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25</xdr:row>
          <xdr:rowOff>50800</xdr:rowOff>
        </xdr:from>
        <xdr:to>
          <xdr:col>8</xdr:col>
          <xdr:colOff>241300</xdr:colOff>
          <xdr:row>26</xdr:row>
          <xdr:rowOff>12700</xdr:rowOff>
        </xdr:to>
        <xdr:sp macro="" textlink="">
          <xdr:nvSpPr>
            <xdr:cNvPr id="3234" name="CommandButton25" hidden="1">
              <a:extLst>
                <a:ext uri="{63B3BB69-23CF-44E3-9099-C40C66FF867C}">
                  <a14:compatExt spid="_x0000_s3234"/>
                </a:ext>
                <a:ext uri="{FF2B5EF4-FFF2-40B4-BE49-F238E27FC236}">
                  <a16:creationId xmlns:a16="http://schemas.microsoft.com/office/drawing/2014/main" id="{00000000-0008-0000-0600-0000A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26</xdr:row>
          <xdr:rowOff>50800</xdr:rowOff>
        </xdr:from>
        <xdr:to>
          <xdr:col>8</xdr:col>
          <xdr:colOff>241300</xdr:colOff>
          <xdr:row>27</xdr:row>
          <xdr:rowOff>12700</xdr:rowOff>
        </xdr:to>
        <xdr:sp macro="" textlink="">
          <xdr:nvSpPr>
            <xdr:cNvPr id="3235" name="CommandButton26" hidden="1">
              <a:extLst>
                <a:ext uri="{63B3BB69-23CF-44E3-9099-C40C66FF867C}">
                  <a14:compatExt spid="_x0000_s3235"/>
                </a:ext>
                <a:ext uri="{FF2B5EF4-FFF2-40B4-BE49-F238E27FC236}">
                  <a16:creationId xmlns:a16="http://schemas.microsoft.com/office/drawing/2014/main" id="{00000000-0008-0000-0600-0000A3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27</xdr:row>
          <xdr:rowOff>50800</xdr:rowOff>
        </xdr:from>
        <xdr:to>
          <xdr:col>8</xdr:col>
          <xdr:colOff>241300</xdr:colOff>
          <xdr:row>28</xdr:row>
          <xdr:rowOff>12700</xdr:rowOff>
        </xdr:to>
        <xdr:sp macro="" textlink="">
          <xdr:nvSpPr>
            <xdr:cNvPr id="3236" name="CommandButton27" hidden="1">
              <a:extLst>
                <a:ext uri="{63B3BB69-23CF-44E3-9099-C40C66FF867C}">
                  <a14:compatExt spid="_x0000_s3236"/>
                </a:ext>
                <a:ext uri="{FF2B5EF4-FFF2-40B4-BE49-F238E27FC236}">
                  <a16:creationId xmlns:a16="http://schemas.microsoft.com/office/drawing/2014/main" id="{00000000-0008-0000-0600-0000A4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28</xdr:row>
          <xdr:rowOff>50800</xdr:rowOff>
        </xdr:from>
        <xdr:to>
          <xdr:col>8</xdr:col>
          <xdr:colOff>241300</xdr:colOff>
          <xdr:row>29</xdr:row>
          <xdr:rowOff>12700</xdr:rowOff>
        </xdr:to>
        <xdr:sp macro="" textlink="">
          <xdr:nvSpPr>
            <xdr:cNvPr id="3237" name="CommandButton28" hidden="1">
              <a:extLst>
                <a:ext uri="{63B3BB69-23CF-44E3-9099-C40C66FF867C}">
                  <a14:compatExt spid="_x0000_s3237"/>
                </a:ext>
                <a:ext uri="{FF2B5EF4-FFF2-40B4-BE49-F238E27FC236}">
                  <a16:creationId xmlns:a16="http://schemas.microsoft.com/office/drawing/2014/main" id="{00000000-0008-0000-0600-0000A5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660400</xdr:colOff>
          <xdr:row>4</xdr:row>
          <xdr:rowOff>19050</xdr:rowOff>
        </xdr:from>
        <xdr:to>
          <xdr:col>12</xdr:col>
          <xdr:colOff>774700</xdr:colOff>
          <xdr:row>5</xdr:row>
          <xdr:rowOff>44450</xdr:rowOff>
        </xdr:to>
        <xdr:sp macro="" textlink="">
          <xdr:nvSpPr>
            <xdr:cNvPr id="3238" name="CheckBox2" hidden="1">
              <a:extLst>
                <a:ext uri="{63B3BB69-23CF-44E3-9099-C40C66FF867C}">
                  <a14:compatExt spid="_x0000_s3238"/>
                </a:ext>
                <a:ext uri="{FF2B5EF4-FFF2-40B4-BE49-F238E27FC236}">
                  <a16:creationId xmlns:a16="http://schemas.microsoft.com/office/drawing/2014/main" id="{00000000-0008-0000-0600-0000A6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571500</xdr:colOff>
          <xdr:row>5</xdr:row>
          <xdr:rowOff>12700</xdr:rowOff>
        </xdr:from>
        <xdr:to>
          <xdr:col>10</xdr:col>
          <xdr:colOff>184150</xdr:colOff>
          <xdr:row>6</xdr:row>
          <xdr:rowOff>38100</xdr:rowOff>
        </xdr:to>
        <xdr:sp macro="" textlink="">
          <xdr:nvSpPr>
            <xdr:cNvPr id="3239" name="CheckBox3" hidden="1">
              <a:extLst>
                <a:ext uri="{63B3BB69-23CF-44E3-9099-C40C66FF867C}">
                  <a14:compatExt spid="_x0000_s3239"/>
                </a:ext>
                <a:ext uri="{FF2B5EF4-FFF2-40B4-BE49-F238E27FC236}">
                  <a16:creationId xmlns:a16="http://schemas.microsoft.com/office/drawing/2014/main" id="{00000000-0008-0000-0600-0000A7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5</xdr:row>
          <xdr:rowOff>12700</xdr:rowOff>
        </xdr:from>
        <xdr:to>
          <xdr:col>11</xdr:col>
          <xdr:colOff>330200</xdr:colOff>
          <xdr:row>6</xdr:row>
          <xdr:rowOff>38100</xdr:rowOff>
        </xdr:to>
        <xdr:sp macro="" textlink="">
          <xdr:nvSpPr>
            <xdr:cNvPr id="3240" name="CheckBox4" hidden="1">
              <a:extLst>
                <a:ext uri="{63B3BB69-23CF-44E3-9099-C40C66FF867C}">
                  <a14:compatExt spid="_x0000_s3240"/>
                </a:ext>
                <a:ext uri="{FF2B5EF4-FFF2-40B4-BE49-F238E27FC236}">
                  <a16:creationId xmlns:a16="http://schemas.microsoft.com/office/drawing/2014/main" id="{00000000-0008-0000-0600-0000A8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508000</xdr:colOff>
          <xdr:row>5</xdr:row>
          <xdr:rowOff>12700</xdr:rowOff>
        </xdr:from>
        <xdr:to>
          <xdr:col>12</xdr:col>
          <xdr:colOff>622300</xdr:colOff>
          <xdr:row>6</xdr:row>
          <xdr:rowOff>38100</xdr:rowOff>
        </xdr:to>
        <xdr:sp macro="" textlink="">
          <xdr:nvSpPr>
            <xdr:cNvPr id="3241" name="CheckBox5" hidden="1">
              <a:extLst>
                <a:ext uri="{63B3BB69-23CF-44E3-9099-C40C66FF867C}">
                  <a14:compatExt spid="_x0000_s3241"/>
                </a:ext>
                <a:ext uri="{FF2B5EF4-FFF2-40B4-BE49-F238E27FC236}">
                  <a16:creationId xmlns:a16="http://schemas.microsoft.com/office/drawing/2014/main" id="{00000000-0008-0000-0600-0000A9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603250</xdr:colOff>
          <xdr:row>7</xdr:row>
          <xdr:rowOff>12700</xdr:rowOff>
        </xdr:from>
        <xdr:to>
          <xdr:col>11</xdr:col>
          <xdr:colOff>565150</xdr:colOff>
          <xdr:row>8</xdr:row>
          <xdr:rowOff>38100</xdr:rowOff>
        </xdr:to>
        <xdr:sp macro="" textlink="">
          <xdr:nvSpPr>
            <xdr:cNvPr id="3242" name="CheckBox6" hidden="1">
              <a:extLst>
                <a:ext uri="{63B3BB69-23CF-44E3-9099-C40C66FF867C}">
                  <a14:compatExt spid="_x0000_s3242"/>
                </a:ext>
                <a:ext uri="{FF2B5EF4-FFF2-40B4-BE49-F238E27FC236}">
                  <a16:creationId xmlns:a16="http://schemas.microsoft.com/office/drawing/2014/main" id="{00000000-0008-0000-0600-0000AA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698500</xdr:colOff>
          <xdr:row>7</xdr:row>
          <xdr:rowOff>12700</xdr:rowOff>
        </xdr:from>
        <xdr:to>
          <xdr:col>10</xdr:col>
          <xdr:colOff>527050</xdr:colOff>
          <xdr:row>8</xdr:row>
          <xdr:rowOff>38100</xdr:rowOff>
        </xdr:to>
        <xdr:sp macro="" textlink="">
          <xdr:nvSpPr>
            <xdr:cNvPr id="3243" name="CheckBox7" hidden="1">
              <a:extLst>
                <a:ext uri="{63B3BB69-23CF-44E3-9099-C40C66FF867C}">
                  <a14:compatExt spid="_x0000_s3243"/>
                </a:ext>
                <a:ext uri="{FF2B5EF4-FFF2-40B4-BE49-F238E27FC236}">
                  <a16:creationId xmlns:a16="http://schemas.microsoft.com/office/drawing/2014/main" id="{00000000-0008-0000-0600-0000AB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965200</xdr:colOff>
          <xdr:row>8</xdr:row>
          <xdr:rowOff>222250</xdr:rowOff>
        </xdr:from>
        <xdr:to>
          <xdr:col>10</xdr:col>
          <xdr:colOff>723900</xdr:colOff>
          <xdr:row>10</xdr:row>
          <xdr:rowOff>19050</xdr:rowOff>
        </xdr:to>
        <xdr:sp macro="" textlink="">
          <xdr:nvSpPr>
            <xdr:cNvPr id="3244" name="CheckBox8" hidden="1">
              <a:extLst>
                <a:ext uri="{63B3BB69-23CF-44E3-9099-C40C66FF867C}">
                  <a14:compatExt spid="_x0000_s3244"/>
                </a:ext>
                <a:ext uri="{FF2B5EF4-FFF2-40B4-BE49-F238E27FC236}">
                  <a16:creationId xmlns:a16="http://schemas.microsoft.com/office/drawing/2014/main" id="{00000000-0008-0000-0600-0000AC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812800</xdr:colOff>
          <xdr:row>8</xdr:row>
          <xdr:rowOff>222250</xdr:rowOff>
        </xdr:from>
        <xdr:to>
          <xdr:col>11</xdr:col>
          <xdr:colOff>914400</xdr:colOff>
          <xdr:row>10</xdr:row>
          <xdr:rowOff>19050</xdr:rowOff>
        </xdr:to>
        <xdr:sp macro="" textlink="">
          <xdr:nvSpPr>
            <xdr:cNvPr id="3245" name="CheckBox9" hidden="1">
              <a:extLst>
                <a:ext uri="{63B3BB69-23CF-44E3-9099-C40C66FF867C}">
                  <a14:compatExt spid="_x0000_s3245"/>
                </a:ext>
                <a:ext uri="{FF2B5EF4-FFF2-40B4-BE49-F238E27FC236}">
                  <a16:creationId xmlns:a16="http://schemas.microsoft.com/office/drawing/2014/main" id="{00000000-0008-0000-0600-0000AD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876300</xdr:colOff>
          <xdr:row>10</xdr:row>
          <xdr:rowOff>222250</xdr:rowOff>
        </xdr:from>
        <xdr:to>
          <xdr:col>10</xdr:col>
          <xdr:colOff>1009650</xdr:colOff>
          <xdr:row>12</xdr:row>
          <xdr:rowOff>19050</xdr:rowOff>
        </xdr:to>
        <xdr:sp macro="" textlink="">
          <xdr:nvSpPr>
            <xdr:cNvPr id="3246" name="CheckBox10" hidden="1">
              <a:extLst>
                <a:ext uri="{63B3BB69-23CF-44E3-9099-C40C66FF867C}">
                  <a14:compatExt spid="_x0000_s3246"/>
                </a:ext>
                <a:ext uri="{FF2B5EF4-FFF2-40B4-BE49-F238E27FC236}">
                  <a16:creationId xmlns:a16="http://schemas.microsoft.com/office/drawing/2014/main" id="{00000000-0008-0000-0600-0000AE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266700</xdr:colOff>
          <xdr:row>12</xdr:row>
          <xdr:rowOff>222250</xdr:rowOff>
        </xdr:from>
        <xdr:to>
          <xdr:col>10</xdr:col>
          <xdr:colOff>82550</xdr:colOff>
          <xdr:row>14</xdr:row>
          <xdr:rowOff>0</xdr:rowOff>
        </xdr:to>
        <xdr:sp macro="" textlink="">
          <xdr:nvSpPr>
            <xdr:cNvPr id="3247" name="CheckBox11" hidden="1">
              <a:extLst>
                <a:ext uri="{63B3BB69-23CF-44E3-9099-C40C66FF867C}">
                  <a14:compatExt spid="_x0000_s3247"/>
                </a:ext>
                <a:ext uri="{FF2B5EF4-FFF2-40B4-BE49-F238E27FC236}">
                  <a16:creationId xmlns:a16="http://schemas.microsoft.com/office/drawing/2014/main" id="{00000000-0008-0000-0600-0000A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184150</xdr:colOff>
          <xdr:row>12</xdr:row>
          <xdr:rowOff>222250</xdr:rowOff>
        </xdr:from>
        <xdr:to>
          <xdr:col>11</xdr:col>
          <xdr:colOff>285750</xdr:colOff>
          <xdr:row>14</xdr:row>
          <xdr:rowOff>0</xdr:rowOff>
        </xdr:to>
        <xdr:sp macro="" textlink="">
          <xdr:nvSpPr>
            <xdr:cNvPr id="3248" name="CheckBox12" hidden="1">
              <a:extLst>
                <a:ext uri="{63B3BB69-23CF-44E3-9099-C40C66FF867C}">
                  <a14:compatExt spid="_x0000_s3248"/>
                </a:ext>
                <a:ext uri="{FF2B5EF4-FFF2-40B4-BE49-F238E27FC236}">
                  <a16:creationId xmlns:a16="http://schemas.microsoft.com/office/drawing/2014/main" id="{00000000-0008-0000-0600-0000B0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514350</xdr:colOff>
          <xdr:row>14</xdr:row>
          <xdr:rowOff>0</xdr:rowOff>
        </xdr:from>
        <xdr:to>
          <xdr:col>12</xdr:col>
          <xdr:colOff>508000</xdr:colOff>
          <xdr:row>15</xdr:row>
          <xdr:rowOff>6350</xdr:rowOff>
        </xdr:to>
        <xdr:sp macro="" textlink="">
          <xdr:nvSpPr>
            <xdr:cNvPr id="3249" name="CheckBox13" hidden="1">
              <a:extLst>
                <a:ext uri="{63B3BB69-23CF-44E3-9099-C40C66FF867C}">
                  <a14:compatExt spid="_x0000_s3249"/>
                </a:ext>
                <a:ext uri="{FF2B5EF4-FFF2-40B4-BE49-F238E27FC236}">
                  <a16:creationId xmlns:a16="http://schemas.microsoft.com/office/drawing/2014/main" id="{00000000-0008-0000-0600-0000B1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984250</xdr:colOff>
          <xdr:row>15</xdr:row>
          <xdr:rowOff>0</xdr:rowOff>
        </xdr:from>
        <xdr:to>
          <xdr:col>10</xdr:col>
          <xdr:colOff>266700</xdr:colOff>
          <xdr:row>16</xdr:row>
          <xdr:rowOff>6350</xdr:rowOff>
        </xdr:to>
        <xdr:sp macro="" textlink="">
          <xdr:nvSpPr>
            <xdr:cNvPr id="3250" name="CheckBox14" hidden="1">
              <a:extLst>
                <a:ext uri="{63B3BB69-23CF-44E3-9099-C40C66FF867C}">
                  <a14:compatExt spid="_x0000_s3250"/>
                </a:ext>
                <a:ext uri="{FF2B5EF4-FFF2-40B4-BE49-F238E27FC236}">
                  <a16:creationId xmlns:a16="http://schemas.microsoft.com/office/drawing/2014/main" id="{00000000-0008-0000-0600-0000B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488950</xdr:colOff>
          <xdr:row>15</xdr:row>
          <xdr:rowOff>0</xdr:rowOff>
        </xdr:from>
        <xdr:to>
          <xdr:col>10</xdr:col>
          <xdr:colOff>927100</xdr:colOff>
          <xdr:row>16</xdr:row>
          <xdr:rowOff>6350</xdr:rowOff>
        </xdr:to>
        <xdr:sp macro="" textlink="">
          <xdr:nvSpPr>
            <xdr:cNvPr id="3251" name="CheckBox15" hidden="1">
              <a:extLst>
                <a:ext uri="{63B3BB69-23CF-44E3-9099-C40C66FF867C}">
                  <a14:compatExt spid="_x0000_s3251"/>
                </a:ext>
                <a:ext uri="{FF2B5EF4-FFF2-40B4-BE49-F238E27FC236}">
                  <a16:creationId xmlns:a16="http://schemas.microsoft.com/office/drawing/2014/main" id="{00000000-0008-0000-0600-0000B3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984250</xdr:colOff>
          <xdr:row>16</xdr:row>
          <xdr:rowOff>0</xdr:rowOff>
        </xdr:from>
        <xdr:to>
          <xdr:col>10</xdr:col>
          <xdr:colOff>304800</xdr:colOff>
          <xdr:row>17</xdr:row>
          <xdr:rowOff>6350</xdr:rowOff>
        </xdr:to>
        <xdr:sp macro="" textlink="">
          <xdr:nvSpPr>
            <xdr:cNvPr id="3252" name="CheckBox16" hidden="1">
              <a:extLst>
                <a:ext uri="{63B3BB69-23CF-44E3-9099-C40C66FF867C}">
                  <a14:compatExt spid="_x0000_s3252"/>
                </a:ext>
                <a:ext uri="{FF2B5EF4-FFF2-40B4-BE49-F238E27FC236}">
                  <a16:creationId xmlns:a16="http://schemas.microsoft.com/office/drawing/2014/main" id="{00000000-0008-0000-0600-0000B4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488950</xdr:colOff>
          <xdr:row>16</xdr:row>
          <xdr:rowOff>0</xdr:rowOff>
        </xdr:from>
        <xdr:to>
          <xdr:col>10</xdr:col>
          <xdr:colOff>901700</xdr:colOff>
          <xdr:row>17</xdr:row>
          <xdr:rowOff>6350</xdr:rowOff>
        </xdr:to>
        <xdr:sp macro="" textlink="">
          <xdr:nvSpPr>
            <xdr:cNvPr id="3253" name="CheckBox17" hidden="1">
              <a:extLst>
                <a:ext uri="{63B3BB69-23CF-44E3-9099-C40C66FF867C}">
                  <a14:compatExt spid="_x0000_s3253"/>
                </a:ext>
                <a:ext uri="{FF2B5EF4-FFF2-40B4-BE49-F238E27FC236}">
                  <a16:creationId xmlns:a16="http://schemas.microsoft.com/office/drawing/2014/main" id="{00000000-0008-0000-0600-0000B5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984250</xdr:colOff>
          <xdr:row>17</xdr:row>
          <xdr:rowOff>0</xdr:rowOff>
        </xdr:from>
        <xdr:to>
          <xdr:col>10</xdr:col>
          <xdr:colOff>279400</xdr:colOff>
          <xdr:row>18</xdr:row>
          <xdr:rowOff>6350</xdr:rowOff>
        </xdr:to>
        <xdr:sp macro="" textlink="">
          <xdr:nvSpPr>
            <xdr:cNvPr id="3254" name="CheckBox18" hidden="1">
              <a:extLst>
                <a:ext uri="{63B3BB69-23CF-44E3-9099-C40C66FF867C}">
                  <a14:compatExt spid="_x0000_s3254"/>
                </a:ext>
                <a:ext uri="{FF2B5EF4-FFF2-40B4-BE49-F238E27FC236}">
                  <a16:creationId xmlns:a16="http://schemas.microsoft.com/office/drawing/2014/main" id="{00000000-0008-0000-0600-0000B6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488950</xdr:colOff>
          <xdr:row>17</xdr:row>
          <xdr:rowOff>0</xdr:rowOff>
        </xdr:from>
        <xdr:to>
          <xdr:col>10</xdr:col>
          <xdr:colOff>920750</xdr:colOff>
          <xdr:row>18</xdr:row>
          <xdr:rowOff>6350</xdr:rowOff>
        </xdr:to>
        <xdr:sp macro="" textlink="">
          <xdr:nvSpPr>
            <xdr:cNvPr id="3255" name="CheckBox19" hidden="1">
              <a:extLst>
                <a:ext uri="{63B3BB69-23CF-44E3-9099-C40C66FF867C}">
                  <a14:compatExt spid="_x0000_s3255"/>
                </a:ext>
                <a:ext uri="{FF2B5EF4-FFF2-40B4-BE49-F238E27FC236}">
                  <a16:creationId xmlns:a16="http://schemas.microsoft.com/office/drawing/2014/main" id="{00000000-0008-0000-0600-0000B7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984250</xdr:colOff>
          <xdr:row>17</xdr:row>
          <xdr:rowOff>222250</xdr:rowOff>
        </xdr:from>
        <xdr:to>
          <xdr:col>10</xdr:col>
          <xdr:colOff>304800</xdr:colOff>
          <xdr:row>19</xdr:row>
          <xdr:rowOff>0</xdr:rowOff>
        </xdr:to>
        <xdr:sp macro="" textlink="">
          <xdr:nvSpPr>
            <xdr:cNvPr id="3256" name="CheckBox20" hidden="1">
              <a:extLst>
                <a:ext uri="{63B3BB69-23CF-44E3-9099-C40C66FF867C}">
                  <a14:compatExt spid="_x0000_s3256"/>
                </a:ext>
                <a:ext uri="{FF2B5EF4-FFF2-40B4-BE49-F238E27FC236}">
                  <a16:creationId xmlns:a16="http://schemas.microsoft.com/office/drawing/2014/main" id="{00000000-0008-0000-0600-0000B8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488950</xdr:colOff>
          <xdr:row>17</xdr:row>
          <xdr:rowOff>222250</xdr:rowOff>
        </xdr:from>
        <xdr:to>
          <xdr:col>10</xdr:col>
          <xdr:colOff>927100</xdr:colOff>
          <xdr:row>19</xdr:row>
          <xdr:rowOff>0</xdr:rowOff>
        </xdr:to>
        <xdr:sp macro="" textlink="">
          <xdr:nvSpPr>
            <xdr:cNvPr id="3257" name="CheckBox21" hidden="1">
              <a:extLst>
                <a:ext uri="{63B3BB69-23CF-44E3-9099-C40C66FF867C}">
                  <a14:compatExt spid="_x0000_s3257"/>
                </a:ext>
                <a:ext uri="{FF2B5EF4-FFF2-40B4-BE49-F238E27FC236}">
                  <a16:creationId xmlns:a16="http://schemas.microsoft.com/office/drawing/2014/main" id="{00000000-0008-0000-0600-0000B9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590550</xdr:colOff>
          <xdr:row>12</xdr:row>
          <xdr:rowOff>222250</xdr:rowOff>
        </xdr:from>
        <xdr:to>
          <xdr:col>12</xdr:col>
          <xdr:colOff>539750</xdr:colOff>
          <xdr:row>14</xdr:row>
          <xdr:rowOff>0</xdr:rowOff>
        </xdr:to>
        <xdr:sp macro="" textlink="">
          <xdr:nvSpPr>
            <xdr:cNvPr id="3258" name="CheckBox22" hidden="1">
              <a:extLst>
                <a:ext uri="{63B3BB69-23CF-44E3-9099-C40C66FF867C}">
                  <a14:compatExt spid="_x0000_s3258"/>
                </a:ext>
                <a:ext uri="{FF2B5EF4-FFF2-40B4-BE49-F238E27FC236}">
                  <a16:creationId xmlns:a16="http://schemas.microsoft.com/office/drawing/2014/main" id="{00000000-0008-0000-0600-0000BA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1003300</xdr:colOff>
          <xdr:row>19</xdr:row>
          <xdr:rowOff>222250</xdr:rowOff>
        </xdr:from>
        <xdr:to>
          <xdr:col>10</xdr:col>
          <xdr:colOff>381000</xdr:colOff>
          <xdr:row>21</xdr:row>
          <xdr:rowOff>0</xdr:rowOff>
        </xdr:to>
        <xdr:sp macro="" textlink="">
          <xdr:nvSpPr>
            <xdr:cNvPr id="3259" name="CheckBox23" hidden="1">
              <a:extLst>
                <a:ext uri="{63B3BB69-23CF-44E3-9099-C40C66FF867C}">
                  <a14:compatExt spid="_x0000_s3259"/>
                </a:ext>
                <a:ext uri="{FF2B5EF4-FFF2-40B4-BE49-F238E27FC236}">
                  <a16:creationId xmlns:a16="http://schemas.microsoft.com/office/drawing/2014/main" id="{00000000-0008-0000-0600-0000BB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508000</xdr:colOff>
          <xdr:row>19</xdr:row>
          <xdr:rowOff>222250</xdr:rowOff>
        </xdr:from>
        <xdr:to>
          <xdr:col>10</xdr:col>
          <xdr:colOff>946150</xdr:colOff>
          <xdr:row>21</xdr:row>
          <xdr:rowOff>0</xdr:rowOff>
        </xdr:to>
        <xdr:sp macro="" textlink="">
          <xdr:nvSpPr>
            <xdr:cNvPr id="3260" name="CheckBox24" hidden="1">
              <a:extLst>
                <a:ext uri="{63B3BB69-23CF-44E3-9099-C40C66FF867C}">
                  <a14:compatExt spid="_x0000_s3260"/>
                </a:ext>
                <a:ext uri="{FF2B5EF4-FFF2-40B4-BE49-F238E27FC236}">
                  <a16:creationId xmlns:a16="http://schemas.microsoft.com/office/drawing/2014/main" id="{00000000-0008-0000-0600-0000BC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22</xdr:row>
          <xdr:rowOff>0</xdr:rowOff>
        </xdr:from>
        <xdr:to>
          <xdr:col>11</xdr:col>
          <xdr:colOff>774700</xdr:colOff>
          <xdr:row>23</xdr:row>
          <xdr:rowOff>6350</xdr:rowOff>
        </xdr:to>
        <xdr:sp macro="" textlink="">
          <xdr:nvSpPr>
            <xdr:cNvPr id="3261" name="CheckBox25" hidden="1">
              <a:extLst>
                <a:ext uri="{63B3BB69-23CF-44E3-9099-C40C66FF867C}">
                  <a14:compatExt spid="_x0000_s3261"/>
                </a:ext>
                <a:ext uri="{FF2B5EF4-FFF2-40B4-BE49-F238E27FC236}">
                  <a16:creationId xmlns:a16="http://schemas.microsoft.com/office/drawing/2014/main" id="{00000000-0008-0000-0600-0000BD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869950</xdr:colOff>
          <xdr:row>22</xdr:row>
          <xdr:rowOff>0</xdr:rowOff>
        </xdr:from>
        <xdr:to>
          <xdr:col>12</xdr:col>
          <xdr:colOff>635000</xdr:colOff>
          <xdr:row>23</xdr:row>
          <xdr:rowOff>6350</xdr:rowOff>
        </xdr:to>
        <xdr:sp macro="" textlink="">
          <xdr:nvSpPr>
            <xdr:cNvPr id="3262" name="CheckBox26" hidden="1">
              <a:extLst>
                <a:ext uri="{63B3BB69-23CF-44E3-9099-C40C66FF867C}">
                  <a14:compatExt spid="_x0000_s3262"/>
                </a:ext>
                <a:ext uri="{FF2B5EF4-FFF2-40B4-BE49-F238E27FC236}">
                  <a16:creationId xmlns:a16="http://schemas.microsoft.com/office/drawing/2014/main" id="{00000000-0008-0000-0600-0000BE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850900</xdr:colOff>
          <xdr:row>25</xdr:row>
          <xdr:rowOff>222250</xdr:rowOff>
        </xdr:from>
        <xdr:to>
          <xdr:col>12</xdr:col>
          <xdr:colOff>615950</xdr:colOff>
          <xdr:row>27</xdr:row>
          <xdr:rowOff>0</xdr:rowOff>
        </xdr:to>
        <xdr:sp macro="" textlink="">
          <xdr:nvSpPr>
            <xdr:cNvPr id="3263" name="CheckBox27" hidden="1">
              <a:extLst>
                <a:ext uri="{63B3BB69-23CF-44E3-9099-C40C66FF867C}">
                  <a14:compatExt spid="_x0000_s3263"/>
                </a:ext>
                <a:ext uri="{FF2B5EF4-FFF2-40B4-BE49-F238E27FC236}">
                  <a16:creationId xmlns:a16="http://schemas.microsoft.com/office/drawing/2014/main" id="{00000000-0008-0000-0600-0000B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127000</xdr:colOff>
          <xdr:row>0</xdr:row>
          <xdr:rowOff>266700</xdr:rowOff>
        </xdr:from>
        <xdr:to>
          <xdr:col>9</xdr:col>
          <xdr:colOff>514350</xdr:colOff>
          <xdr:row>0</xdr:row>
          <xdr:rowOff>571500</xdr:rowOff>
        </xdr:to>
        <xdr:sp macro="" textlink="">
          <xdr:nvSpPr>
            <xdr:cNvPr id="3265" name="CommandButton29" hidden="1">
              <a:extLst>
                <a:ext uri="{63B3BB69-23CF-44E3-9099-C40C66FF867C}">
                  <a14:compatExt spid="_x0000_s3265"/>
                </a:ext>
                <a:ext uri="{FF2B5EF4-FFF2-40B4-BE49-F238E27FC236}">
                  <a16:creationId xmlns:a16="http://schemas.microsoft.com/office/drawing/2014/main" id="{00000000-0008-0000-0600-0000C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641350</xdr:colOff>
          <xdr:row>0</xdr:row>
          <xdr:rowOff>203200</xdr:rowOff>
        </xdr:from>
        <xdr:to>
          <xdr:col>4</xdr:col>
          <xdr:colOff>1333500</xdr:colOff>
          <xdr:row>0</xdr:row>
          <xdr:rowOff>533400</xdr:rowOff>
        </xdr:to>
        <xdr:sp macro="" textlink="">
          <xdr:nvSpPr>
            <xdr:cNvPr id="3269" name="CommandButton30" hidden="1">
              <a:extLst>
                <a:ext uri="{63B3BB69-23CF-44E3-9099-C40C66FF867C}">
                  <a14:compatExt spid="_x0000_s3269"/>
                </a:ext>
                <a:ext uri="{FF2B5EF4-FFF2-40B4-BE49-F238E27FC236}">
                  <a16:creationId xmlns:a16="http://schemas.microsoft.com/office/drawing/2014/main" id="{00000000-0008-0000-0600-0000C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304800</xdr:colOff>
          <xdr:row>0</xdr:row>
          <xdr:rowOff>266700</xdr:rowOff>
        </xdr:from>
        <xdr:to>
          <xdr:col>11</xdr:col>
          <xdr:colOff>76200</xdr:colOff>
          <xdr:row>0</xdr:row>
          <xdr:rowOff>571500</xdr:rowOff>
        </xdr:to>
        <xdr:sp macro="" textlink="">
          <xdr:nvSpPr>
            <xdr:cNvPr id="3270" name="CommandButton31" hidden="1">
              <a:extLst>
                <a:ext uri="{63B3BB69-23CF-44E3-9099-C40C66FF867C}">
                  <a14:compatExt spid="_x0000_s3270"/>
                </a:ext>
                <a:ext uri="{FF2B5EF4-FFF2-40B4-BE49-F238E27FC236}">
                  <a16:creationId xmlns:a16="http://schemas.microsoft.com/office/drawing/2014/main" id="{00000000-0008-0000-0600-0000C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762000</xdr:colOff>
          <xdr:row>0</xdr:row>
          <xdr:rowOff>266700</xdr:rowOff>
        </xdr:from>
        <xdr:to>
          <xdr:col>8</xdr:col>
          <xdr:colOff>88900</xdr:colOff>
          <xdr:row>0</xdr:row>
          <xdr:rowOff>584200</xdr:rowOff>
        </xdr:to>
        <xdr:sp macro="" textlink="">
          <xdr:nvSpPr>
            <xdr:cNvPr id="3271" name="CommandButton32" hidden="1">
              <a:extLst>
                <a:ext uri="{63B3BB69-23CF-44E3-9099-C40C66FF867C}">
                  <a14:compatExt spid="_x0000_s3271"/>
                </a:ext>
                <a:ext uri="{FF2B5EF4-FFF2-40B4-BE49-F238E27FC236}">
                  <a16:creationId xmlns:a16="http://schemas.microsoft.com/office/drawing/2014/main" id="{00000000-0008-0000-0600-0000C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546100</xdr:colOff>
          <xdr:row>0</xdr:row>
          <xdr:rowOff>266700</xdr:rowOff>
        </xdr:from>
        <xdr:to>
          <xdr:col>10</xdr:col>
          <xdr:colOff>285750</xdr:colOff>
          <xdr:row>0</xdr:row>
          <xdr:rowOff>571500</xdr:rowOff>
        </xdr:to>
        <xdr:sp macro="" textlink="">
          <xdr:nvSpPr>
            <xdr:cNvPr id="3272" name="CommandButton33" hidden="1">
              <a:extLst>
                <a:ext uri="{63B3BB69-23CF-44E3-9099-C40C66FF867C}">
                  <a14:compatExt spid="_x0000_s3272"/>
                </a:ext>
                <a:ext uri="{FF2B5EF4-FFF2-40B4-BE49-F238E27FC236}">
                  <a16:creationId xmlns:a16="http://schemas.microsoft.com/office/drawing/2014/main" id="{00000000-0008-0000-0600-0000C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2</xdr:row>
          <xdr:rowOff>50800</xdr:rowOff>
        </xdr:from>
        <xdr:to>
          <xdr:col>10</xdr:col>
          <xdr:colOff>1009650</xdr:colOff>
          <xdr:row>3</xdr:row>
          <xdr:rowOff>0</xdr:rowOff>
        </xdr:to>
        <xdr:sp macro="" textlink="">
          <xdr:nvSpPr>
            <xdr:cNvPr id="3273" name="Label17" hidden="1">
              <a:extLst>
                <a:ext uri="{63B3BB69-23CF-44E3-9099-C40C66FF867C}">
                  <a14:compatExt spid="_x0000_s3273"/>
                </a:ext>
                <a:ext uri="{FF2B5EF4-FFF2-40B4-BE49-F238E27FC236}">
                  <a16:creationId xmlns:a16="http://schemas.microsoft.com/office/drawing/2014/main" id="{00000000-0008-0000-0600-0000C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57150</xdr:colOff>
          <xdr:row>2</xdr:row>
          <xdr:rowOff>19050</xdr:rowOff>
        </xdr:from>
        <xdr:to>
          <xdr:col>11</xdr:col>
          <xdr:colOff>596900</xdr:colOff>
          <xdr:row>3</xdr:row>
          <xdr:rowOff>0</xdr:rowOff>
        </xdr:to>
        <xdr:sp macro="" textlink="">
          <xdr:nvSpPr>
            <xdr:cNvPr id="3274" name="TextBox23" hidden="1">
              <a:extLst>
                <a:ext uri="{63B3BB69-23CF-44E3-9099-C40C66FF867C}">
                  <a14:compatExt spid="_x0000_s3274"/>
                </a:ext>
                <a:ext uri="{FF2B5EF4-FFF2-40B4-BE49-F238E27FC236}">
                  <a16:creationId xmlns:a16="http://schemas.microsoft.com/office/drawing/2014/main" id="{00000000-0008-0000-0600-0000C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4</xdr:row>
          <xdr:rowOff>57150</xdr:rowOff>
        </xdr:from>
        <xdr:to>
          <xdr:col>10</xdr:col>
          <xdr:colOff>971550</xdr:colOff>
          <xdr:row>5</xdr:row>
          <xdr:rowOff>12700</xdr:rowOff>
        </xdr:to>
        <xdr:sp macro="" textlink="">
          <xdr:nvSpPr>
            <xdr:cNvPr id="3275" name="Label18" hidden="1">
              <a:extLst>
                <a:ext uri="{63B3BB69-23CF-44E3-9099-C40C66FF867C}">
                  <a14:compatExt spid="_x0000_s3275"/>
                </a:ext>
                <a:ext uri="{FF2B5EF4-FFF2-40B4-BE49-F238E27FC236}">
                  <a16:creationId xmlns:a16="http://schemas.microsoft.com/office/drawing/2014/main" id="{00000000-0008-0000-0600-0000C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952500</xdr:colOff>
          <xdr:row>4</xdr:row>
          <xdr:rowOff>38100</xdr:rowOff>
        </xdr:from>
        <xdr:to>
          <xdr:col>11</xdr:col>
          <xdr:colOff>476250</xdr:colOff>
          <xdr:row>5</xdr:row>
          <xdr:rowOff>38100</xdr:rowOff>
        </xdr:to>
        <xdr:sp macro="" textlink="">
          <xdr:nvSpPr>
            <xdr:cNvPr id="3276" name="TextBox24" hidden="1">
              <a:extLst>
                <a:ext uri="{63B3BB69-23CF-44E3-9099-C40C66FF867C}">
                  <a14:compatExt spid="_x0000_s3276"/>
                </a:ext>
                <a:ext uri="{FF2B5EF4-FFF2-40B4-BE49-F238E27FC236}">
                  <a16:creationId xmlns:a16="http://schemas.microsoft.com/office/drawing/2014/main" id="{00000000-0008-0000-0600-0000C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279400</xdr:colOff>
          <xdr:row>0</xdr:row>
          <xdr:rowOff>266700</xdr:rowOff>
        </xdr:from>
        <xdr:to>
          <xdr:col>12</xdr:col>
          <xdr:colOff>152400</xdr:colOff>
          <xdr:row>0</xdr:row>
          <xdr:rowOff>571500</xdr:rowOff>
        </xdr:to>
        <xdr:sp macro="" textlink="">
          <xdr:nvSpPr>
            <xdr:cNvPr id="3277" name="CommandButton34" hidden="1">
              <a:extLst>
                <a:ext uri="{63B3BB69-23CF-44E3-9099-C40C66FF867C}">
                  <a14:compatExt spid="_x0000_s3277"/>
                </a:ext>
                <a:ext uri="{FF2B5EF4-FFF2-40B4-BE49-F238E27FC236}">
                  <a16:creationId xmlns:a16="http://schemas.microsoft.com/office/drawing/2014/main" id="{00000000-0008-0000-0600-0000C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184150</xdr:colOff>
          <xdr:row>0</xdr:row>
          <xdr:rowOff>266700</xdr:rowOff>
        </xdr:from>
        <xdr:to>
          <xdr:col>12</xdr:col>
          <xdr:colOff>927100</xdr:colOff>
          <xdr:row>0</xdr:row>
          <xdr:rowOff>571500</xdr:rowOff>
        </xdr:to>
        <xdr:sp macro="" textlink="">
          <xdr:nvSpPr>
            <xdr:cNvPr id="3279" name="CommandButton35" hidden="1">
              <a:extLst>
                <a:ext uri="{63B3BB69-23CF-44E3-9099-C40C66FF867C}">
                  <a14:compatExt spid="_x0000_s3279"/>
                </a:ext>
                <a:ext uri="{FF2B5EF4-FFF2-40B4-BE49-F238E27FC236}">
                  <a16:creationId xmlns:a16="http://schemas.microsoft.com/office/drawing/2014/main" id="{00000000-0008-0000-0600-0000C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34</xdr:row>
          <xdr:rowOff>50800</xdr:rowOff>
        </xdr:from>
        <xdr:to>
          <xdr:col>0</xdr:col>
          <xdr:colOff>203200</xdr:colOff>
          <xdr:row>34</xdr:row>
          <xdr:rowOff>215900</xdr:rowOff>
        </xdr:to>
        <xdr:sp macro="" textlink="">
          <xdr:nvSpPr>
            <xdr:cNvPr id="3280" name="CommandButton36" hidden="1">
              <a:extLst>
                <a:ext uri="{63B3BB69-23CF-44E3-9099-C40C66FF867C}">
                  <a14:compatExt spid="_x0000_s3280"/>
                </a:ext>
                <a:ext uri="{FF2B5EF4-FFF2-40B4-BE49-F238E27FC236}">
                  <a16:creationId xmlns:a16="http://schemas.microsoft.com/office/drawing/2014/main" id="{00000000-0008-0000-0600-0000D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34</xdr:row>
          <xdr:rowOff>38100</xdr:rowOff>
        </xdr:from>
        <xdr:to>
          <xdr:col>3</xdr:col>
          <xdr:colOff>222250</xdr:colOff>
          <xdr:row>34</xdr:row>
          <xdr:rowOff>196850</xdr:rowOff>
        </xdr:to>
        <xdr:sp macro="" textlink="">
          <xdr:nvSpPr>
            <xdr:cNvPr id="3281" name="CommandButton37" hidden="1">
              <a:extLst>
                <a:ext uri="{63B3BB69-23CF-44E3-9099-C40C66FF867C}">
                  <a14:compatExt spid="_x0000_s3281"/>
                </a:ext>
                <a:ext uri="{FF2B5EF4-FFF2-40B4-BE49-F238E27FC236}">
                  <a16:creationId xmlns:a16="http://schemas.microsoft.com/office/drawing/2014/main" id="{00000000-0008-0000-0600-0000D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34</xdr:row>
          <xdr:rowOff>38100</xdr:rowOff>
        </xdr:from>
        <xdr:to>
          <xdr:col>6</xdr:col>
          <xdr:colOff>234950</xdr:colOff>
          <xdr:row>34</xdr:row>
          <xdr:rowOff>196850</xdr:rowOff>
        </xdr:to>
        <xdr:sp macro="" textlink="">
          <xdr:nvSpPr>
            <xdr:cNvPr id="3282" name="CommandButton38" hidden="1">
              <a:extLst>
                <a:ext uri="{63B3BB69-23CF-44E3-9099-C40C66FF867C}">
                  <a14:compatExt spid="_x0000_s3282"/>
                </a:ext>
                <a:ext uri="{FF2B5EF4-FFF2-40B4-BE49-F238E27FC236}">
                  <a16:creationId xmlns:a16="http://schemas.microsoft.com/office/drawing/2014/main" id="{00000000-0008-0000-0600-0000D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279400</xdr:colOff>
          <xdr:row>13</xdr:row>
          <xdr:rowOff>165100</xdr:rowOff>
        </xdr:from>
        <xdr:to>
          <xdr:col>1</xdr:col>
          <xdr:colOff>590550</xdr:colOff>
          <xdr:row>14</xdr:row>
          <xdr:rowOff>165100</xdr:rowOff>
        </xdr:to>
        <xdr:sp macro="" textlink="">
          <xdr:nvSpPr>
            <xdr:cNvPr id="3285" name="CommandButton39" hidden="1">
              <a:extLst>
                <a:ext uri="{63B3BB69-23CF-44E3-9099-C40C66FF867C}">
                  <a14:compatExt spid="_x0000_s3285"/>
                </a:ext>
                <a:ext uri="{FF2B5EF4-FFF2-40B4-BE49-F238E27FC236}">
                  <a16:creationId xmlns:a16="http://schemas.microsoft.com/office/drawing/2014/main" id="{00000000-0008-0000-0600-0000D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1022350</xdr:colOff>
          <xdr:row>6</xdr:row>
          <xdr:rowOff>12700</xdr:rowOff>
        </xdr:from>
        <xdr:to>
          <xdr:col>1</xdr:col>
          <xdr:colOff>1206500</xdr:colOff>
          <xdr:row>6</xdr:row>
          <xdr:rowOff>215900</xdr:rowOff>
        </xdr:to>
        <xdr:sp macro="" textlink="">
          <xdr:nvSpPr>
            <xdr:cNvPr id="3286" name="CommandButton40" hidden="1">
              <a:extLst>
                <a:ext uri="{63B3BB69-23CF-44E3-9099-C40C66FF867C}">
                  <a14:compatExt spid="_x0000_s3286"/>
                </a:ext>
                <a:ext uri="{FF2B5EF4-FFF2-40B4-BE49-F238E27FC236}">
                  <a16:creationId xmlns:a16="http://schemas.microsoft.com/office/drawing/2014/main" id="{00000000-0008-0000-0600-0000D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571500</xdr:colOff>
          <xdr:row>6</xdr:row>
          <xdr:rowOff>12700</xdr:rowOff>
        </xdr:from>
        <xdr:to>
          <xdr:col>10</xdr:col>
          <xdr:colOff>457200</xdr:colOff>
          <xdr:row>7</xdr:row>
          <xdr:rowOff>38100</xdr:rowOff>
        </xdr:to>
        <xdr:sp macro="" textlink="">
          <xdr:nvSpPr>
            <xdr:cNvPr id="3287" name="CheckBox28" hidden="1">
              <a:extLst>
                <a:ext uri="{63B3BB69-23CF-44E3-9099-C40C66FF867C}">
                  <a14:compatExt spid="_x0000_s3287"/>
                </a:ext>
                <a:ext uri="{FF2B5EF4-FFF2-40B4-BE49-F238E27FC236}">
                  <a16:creationId xmlns:a16="http://schemas.microsoft.com/office/drawing/2014/main" id="{00000000-0008-0000-0600-0000D7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571500</xdr:colOff>
          <xdr:row>6</xdr:row>
          <xdr:rowOff>12700</xdr:rowOff>
        </xdr:from>
        <xdr:to>
          <xdr:col>12</xdr:col>
          <xdr:colOff>527050</xdr:colOff>
          <xdr:row>7</xdr:row>
          <xdr:rowOff>38100</xdr:rowOff>
        </xdr:to>
        <xdr:sp macro="" textlink="">
          <xdr:nvSpPr>
            <xdr:cNvPr id="3288" name="CheckBox29" hidden="1">
              <a:extLst>
                <a:ext uri="{63B3BB69-23CF-44E3-9099-C40C66FF867C}">
                  <a14:compatExt spid="_x0000_s3288"/>
                </a:ext>
                <a:ext uri="{FF2B5EF4-FFF2-40B4-BE49-F238E27FC236}">
                  <a16:creationId xmlns:a16="http://schemas.microsoft.com/office/drawing/2014/main" id="{00000000-0008-0000-0600-0000D8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34</xdr:row>
          <xdr:rowOff>31750</xdr:rowOff>
        </xdr:from>
        <xdr:to>
          <xdr:col>8</xdr:col>
          <xdr:colOff>222250</xdr:colOff>
          <xdr:row>34</xdr:row>
          <xdr:rowOff>190500</xdr:rowOff>
        </xdr:to>
        <xdr:sp macro="" textlink="">
          <xdr:nvSpPr>
            <xdr:cNvPr id="3293" name="CommandButton1" hidden="1">
              <a:extLst>
                <a:ext uri="{63B3BB69-23CF-44E3-9099-C40C66FF867C}">
                  <a14:compatExt spid="_x0000_s3293"/>
                </a:ext>
                <a:ext uri="{FF2B5EF4-FFF2-40B4-BE49-F238E27FC236}">
                  <a16:creationId xmlns:a16="http://schemas.microsoft.com/office/drawing/2014/main" id="{00000000-0008-0000-0600-0000D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30</xdr:row>
          <xdr:rowOff>50800</xdr:rowOff>
        </xdr:from>
        <xdr:to>
          <xdr:col>8</xdr:col>
          <xdr:colOff>241300</xdr:colOff>
          <xdr:row>31</xdr:row>
          <xdr:rowOff>12700</xdr:rowOff>
        </xdr:to>
        <xdr:sp macro="" textlink="">
          <xdr:nvSpPr>
            <xdr:cNvPr id="3295" name="CommandButton41" hidden="1">
              <a:extLst>
                <a:ext uri="{63B3BB69-23CF-44E3-9099-C40C66FF867C}">
                  <a14:compatExt spid="_x0000_s3295"/>
                </a:ext>
                <a:ext uri="{FF2B5EF4-FFF2-40B4-BE49-F238E27FC236}">
                  <a16:creationId xmlns:a16="http://schemas.microsoft.com/office/drawing/2014/main" id="{00000000-0008-0000-0600-0000D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971550</xdr:colOff>
          <xdr:row>23</xdr:row>
          <xdr:rowOff>0</xdr:rowOff>
        </xdr:from>
        <xdr:to>
          <xdr:col>12</xdr:col>
          <xdr:colOff>203200</xdr:colOff>
          <xdr:row>24</xdr:row>
          <xdr:rowOff>25400</xdr:rowOff>
        </xdr:to>
        <xdr:sp macro="" textlink="">
          <xdr:nvSpPr>
            <xdr:cNvPr id="3296" name="CheckBox30" hidden="1">
              <a:extLst>
                <a:ext uri="{63B3BB69-23CF-44E3-9099-C40C66FF867C}">
                  <a14:compatExt spid="_x0000_s3296"/>
                </a:ext>
                <a:ext uri="{FF2B5EF4-FFF2-40B4-BE49-F238E27FC236}">
                  <a16:creationId xmlns:a16="http://schemas.microsoft.com/office/drawing/2014/main" id="{00000000-0008-0000-0600-0000E0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971550</xdr:colOff>
          <xdr:row>24</xdr:row>
          <xdr:rowOff>0</xdr:rowOff>
        </xdr:from>
        <xdr:to>
          <xdr:col>12</xdr:col>
          <xdr:colOff>203200</xdr:colOff>
          <xdr:row>25</xdr:row>
          <xdr:rowOff>25400</xdr:rowOff>
        </xdr:to>
        <xdr:sp macro="" textlink="">
          <xdr:nvSpPr>
            <xdr:cNvPr id="3297" name="CheckBox31" hidden="1">
              <a:extLst>
                <a:ext uri="{63B3BB69-23CF-44E3-9099-C40C66FF867C}">
                  <a14:compatExt spid="_x0000_s3297"/>
                </a:ext>
                <a:ext uri="{FF2B5EF4-FFF2-40B4-BE49-F238E27FC236}">
                  <a16:creationId xmlns:a16="http://schemas.microsoft.com/office/drawing/2014/main" id="{00000000-0008-0000-0600-0000E1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971550</xdr:colOff>
          <xdr:row>25</xdr:row>
          <xdr:rowOff>0</xdr:rowOff>
        </xdr:from>
        <xdr:to>
          <xdr:col>12</xdr:col>
          <xdr:colOff>203200</xdr:colOff>
          <xdr:row>26</xdr:row>
          <xdr:rowOff>25400</xdr:rowOff>
        </xdr:to>
        <xdr:sp macro="" textlink="">
          <xdr:nvSpPr>
            <xdr:cNvPr id="3298" name="CheckBox32" hidden="1">
              <a:extLst>
                <a:ext uri="{63B3BB69-23CF-44E3-9099-C40C66FF867C}">
                  <a14:compatExt spid="_x0000_s3298"/>
                </a:ext>
                <a:ext uri="{FF2B5EF4-FFF2-40B4-BE49-F238E27FC236}">
                  <a16:creationId xmlns:a16="http://schemas.microsoft.com/office/drawing/2014/main" id="{00000000-0008-0000-0600-0000E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29</xdr:row>
          <xdr:rowOff>50800</xdr:rowOff>
        </xdr:from>
        <xdr:to>
          <xdr:col>8</xdr:col>
          <xdr:colOff>241300</xdr:colOff>
          <xdr:row>30</xdr:row>
          <xdr:rowOff>12700</xdr:rowOff>
        </xdr:to>
        <xdr:sp macro="" textlink="">
          <xdr:nvSpPr>
            <xdr:cNvPr id="3299" name="CommandButton13" hidden="1">
              <a:extLst>
                <a:ext uri="{63B3BB69-23CF-44E3-9099-C40C66FF867C}">
                  <a14:compatExt spid="_x0000_s3299"/>
                </a:ext>
                <a:ext uri="{FF2B5EF4-FFF2-40B4-BE49-F238E27FC236}">
                  <a16:creationId xmlns:a16="http://schemas.microsoft.com/office/drawing/2014/main" id="{00000000-0008-0000-0600-0000E3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xdr:colOff>
          <xdr:row>11</xdr:row>
          <xdr:rowOff>12700</xdr:rowOff>
        </xdr:from>
        <xdr:to>
          <xdr:col>3</xdr:col>
          <xdr:colOff>222250</xdr:colOff>
          <xdr:row>12</xdr:row>
          <xdr:rowOff>0</xdr:rowOff>
        </xdr:to>
        <xdr:sp macro="" textlink="">
          <xdr:nvSpPr>
            <xdr:cNvPr id="2049" name="Spinner 1" hidden="1">
              <a:extLst>
                <a:ext uri="{63B3BB69-23CF-44E3-9099-C40C66FF867C}">
                  <a14:compatExt spid="_x0000_s2049"/>
                </a:ext>
                <a:ext uri="{FF2B5EF4-FFF2-40B4-BE49-F238E27FC236}">
                  <a16:creationId xmlns:a16="http://schemas.microsoft.com/office/drawing/2014/main" id="{00000000-0008-0000-0700-000001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4</xdr:col>
          <xdr:colOff>584200</xdr:colOff>
          <xdr:row>11</xdr:row>
          <xdr:rowOff>0</xdr:rowOff>
        </xdr:to>
        <xdr:sp macro="" textlink="">
          <xdr:nvSpPr>
            <xdr:cNvPr id="2050" name="Drop Down 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11</xdr:row>
          <xdr:rowOff>12700</xdr:rowOff>
        </xdr:from>
        <xdr:to>
          <xdr:col>3</xdr:col>
          <xdr:colOff>222250</xdr:colOff>
          <xdr:row>12</xdr:row>
          <xdr:rowOff>0</xdr:rowOff>
        </xdr:to>
        <xdr:sp macro="" textlink="">
          <xdr:nvSpPr>
            <xdr:cNvPr id="2051" name="Spinner 3" hidden="1">
              <a:extLst>
                <a:ext uri="{63B3BB69-23CF-44E3-9099-C40C66FF867C}">
                  <a14:compatExt spid="_x0000_s2051"/>
                </a:ext>
                <a:ext uri="{FF2B5EF4-FFF2-40B4-BE49-F238E27FC236}">
                  <a16:creationId xmlns:a16="http://schemas.microsoft.com/office/drawing/2014/main" id="{00000000-0008-0000-0700-000003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21</xdr:row>
          <xdr:rowOff>57150</xdr:rowOff>
        </xdr:from>
        <xdr:to>
          <xdr:col>4</xdr:col>
          <xdr:colOff>431800</xdr:colOff>
          <xdr:row>22</xdr:row>
          <xdr:rowOff>127000</xdr:rowOff>
        </xdr:to>
        <xdr:sp macro="" textlink="">
          <xdr:nvSpPr>
            <xdr:cNvPr id="2054" name="CommandButton1" hidden="1">
              <a:extLst>
                <a:ext uri="{63B3BB69-23CF-44E3-9099-C40C66FF867C}">
                  <a14:compatExt spid="_x0000_s2054"/>
                </a:ext>
                <a:ext uri="{FF2B5EF4-FFF2-40B4-BE49-F238E27FC236}">
                  <a16:creationId xmlns:a16="http://schemas.microsoft.com/office/drawing/2014/main" id="{00000000-0008-0000-07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38100</xdr:rowOff>
        </xdr:from>
        <xdr:to>
          <xdr:col>6</xdr:col>
          <xdr:colOff>298450</xdr:colOff>
          <xdr:row>22</xdr:row>
          <xdr:rowOff>114300</xdr:rowOff>
        </xdr:to>
        <xdr:sp macro="" textlink="">
          <xdr:nvSpPr>
            <xdr:cNvPr id="2055" name="CommandButton2" hidden="1">
              <a:extLst>
                <a:ext uri="{63B3BB69-23CF-44E3-9099-C40C66FF867C}">
                  <a14:compatExt spid="_x0000_s2055"/>
                </a:ext>
                <a:ext uri="{FF2B5EF4-FFF2-40B4-BE49-F238E27FC236}">
                  <a16:creationId xmlns:a16="http://schemas.microsoft.com/office/drawing/2014/main" id="{00000000-0008-0000-07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276225</xdr:colOff>
      <xdr:row>3</xdr:row>
      <xdr:rowOff>114300</xdr:rowOff>
    </xdr:to>
    <xdr:pic>
      <xdr:nvPicPr>
        <xdr:cNvPr id="2" name="Picture 1" descr="C:\My Documents\My Pictures\Amitron Logo.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blip>
        <a:srcRect/>
        <a:stretch>
          <a:fillRect/>
        </a:stretch>
      </xdr:blipFill>
      <xdr:spPr bwMode="auto">
        <a:xfrm>
          <a:off x="0" y="0"/>
          <a:ext cx="3895725" cy="6286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0</xdr:col>
          <xdr:colOff>190500</xdr:colOff>
          <xdr:row>67</xdr:row>
          <xdr:rowOff>152400</xdr:rowOff>
        </xdr:from>
        <xdr:to>
          <xdr:col>2</xdr:col>
          <xdr:colOff>412750</xdr:colOff>
          <xdr:row>69</xdr:row>
          <xdr:rowOff>31750</xdr:rowOff>
        </xdr:to>
        <xdr:sp macro="" textlink="">
          <xdr:nvSpPr>
            <xdr:cNvPr id="16388" name="CommandButton1" hidden="1">
              <a:extLst>
                <a:ext uri="{63B3BB69-23CF-44E3-9099-C40C66FF867C}">
                  <a14:compatExt spid="_x0000_s16388"/>
                </a:ext>
                <a:ext uri="{FF2B5EF4-FFF2-40B4-BE49-F238E27FC236}">
                  <a16:creationId xmlns:a16="http://schemas.microsoft.com/office/drawing/2014/main" id="{00000000-0008-0000-08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67</xdr:row>
          <xdr:rowOff>152400</xdr:rowOff>
        </xdr:from>
        <xdr:to>
          <xdr:col>9</xdr:col>
          <xdr:colOff>304800</xdr:colOff>
          <xdr:row>69</xdr:row>
          <xdr:rowOff>31750</xdr:rowOff>
        </xdr:to>
        <xdr:sp macro="" textlink="">
          <xdr:nvSpPr>
            <xdr:cNvPr id="16389" name="CommandButton2" hidden="1">
              <a:extLst>
                <a:ext uri="{63B3BB69-23CF-44E3-9099-C40C66FF867C}">
                  <a14:compatExt spid="_x0000_s16389"/>
                </a:ext>
                <a:ext uri="{FF2B5EF4-FFF2-40B4-BE49-F238E27FC236}">
                  <a16:creationId xmlns:a16="http://schemas.microsoft.com/office/drawing/2014/main" id="{00000000-0008-0000-0800-000005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146050</xdr:colOff>
          <xdr:row>67</xdr:row>
          <xdr:rowOff>152400</xdr:rowOff>
        </xdr:from>
        <xdr:to>
          <xdr:col>5</xdr:col>
          <xdr:colOff>323850</xdr:colOff>
          <xdr:row>69</xdr:row>
          <xdr:rowOff>31750</xdr:rowOff>
        </xdr:to>
        <xdr:sp macro="" textlink="">
          <xdr:nvSpPr>
            <xdr:cNvPr id="16390" name="CommandButton3" hidden="1">
              <a:extLst>
                <a:ext uri="{63B3BB69-23CF-44E3-9099-C40C66FF867C}">
                  <a14:compatExt spid="_x0000_s16390"/>
                </a:ext>
                <a:ext uri="{FF2B5EF4-FFF2-40B4-BE49-F238E27FC236}">
                  <a16:creationId xmlns:a16="http://schemas.microsoft.com/office/drawing/2014/main" id="{00000000-0008-0000-0800-00000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831850</xdr:colOff>
          <xdr:row>5</xdr:row>
          <xdr:rowOff>209550</xdr:rowOff>
        </xdr:from>
        <xdr:to>
          <xdr:col>9</xdr:col>
          <xdr:colOff>336550</xdr:colOff>
          <xdr:row>7</xdr:row>
          <xdr:rowOff>31750</xdr:rowOff>
        </xdr:to>
        <xdr:sp macro="" textlink="">
          <xdr:nvSpPr>
            <xdr:cNvPr id="16392" name="CommandButton4" hidden="1">
              <a:extLst>
                <a:ext uri="{63B3BB69-23CF-44E3-9099-C40C66FF867C}">
                  <a14:compatExt spid="_x0000_s16392"/>
                </a:ext>
                <a:ext uri="{FF2B5EF4-FFF2-40B4-BE49-F238E27FC236}">
                  <a16:creationId xmlns:a16="http://schemas.microsoft.com/office/drawing/2014/main" id="{00000000-0008-0000-0800-000008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276225</xdr:colOff>
      <xdr:row>3</xdr:row>
      <xdr:rowOff>114300</xdr:rowOff>
    </xdr:to>
    <xdr:pic>
      <xdr:nvPicPr>
        <xdr:cNvPr id="2" name="Picture 1" descr="C:\My Documents\My Pictures\Amitron Logo.gif">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blip>
        <a:srcRect/>
        <a:stretch>
          <a:fillRect/>
        </a:stretch>
      </xdr:blipFill>
      <xdr:spPr bwMode="auto">
        <a:xfrm>
          <a:off x="0" y="0"/>
          <a:ext cx="4038600" cy="62865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0</xdr:col>
          <xdr:colOff>190500</xdr:colOff>
          <xdr:row>67</xdr:row>
          <xdr:rowOff>152400</xdr:rowOff>
        </xdr:from>
        <xdr:to>
          <xdr:col>2</xdr:col>
          <xdr:colOff>438150</xdr:colOff>
          <xdr:row>69</xdr:row>
          <xdr:rowOff>31750</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09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67</xdr:row>
          <xdr:rowOff>152400</xdr:rowOff>
        </xdr:from>
        <xdr:to>
          <xdr:col>9</xdr:col>
          <xdr:colOff>323850</xdr:colOff>
          <xdr:row>69</xdr:row>
          <xdr:rowOff>31750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9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146050</xdr:colOff>
          <xdr:row>67</xdr:row>
          <xdr:rowOff>152400</xdr:rowOff>
        </xdr:from>
        <xdr:to>
          <xdr:col>5</xdr:col>
          <xdr:colOff>342900</xdr:colOff>
          <xdr:row>69</xdr:row>
          <xdr:rowOff>31750</xdr:rowOff>
        </xdr:to>
        <xdr:sp macro="" textlink="">
          <xdr:nvSpPr>
            <xdr:cNvPr id="44035" name="CommandButton3" hidden="1">
              <a:extLst>
                <a:ext uri="{63B3BB69-23CF-44E3-9099-C40C66FF867C}">
                  <a14:compatExt spid="_x0000_s44035"/>
                </a:ext>
                <a:ext uri="{FF2B5EF4-FFF2-40B4-BE49-F238E27FC236}">
                  <a16:creationId xmlns:a16="http://schemas.microsoft.com/office/drawing/2014/main" id="{00000000-0008-0000-09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831850</xdr:colOff>
          <xdr:row>5</xdr:row>
          <xdr:rowOff>209550</xdr:rowOff>
        </xdr:from>
        <xdr:to>
          <xdr:col>9</xdr:col>
          <xdr:colOff>355600</xdr:colOff>
          <xdr:row>7</xdr:row>
          <xdr:rowOff>19050</xdr:rowOff>
        </xdr:to>
        <xdr:sp macro="" textlink="">
          <xdr:nvSpPr>
            <xdr:cNvPr id="44036" name="CommandButton4" hidden="1">
              <a:extLst>
                <a:ext uri="{63B3BB69-23CF-44E3-9099-C40C66FF867C}">
                  <a14:compatExt spid="_x0000_s44036"/>
                </a:ext>
                <a:ext uri="{FF2B5EF4-FFF2-40B4-BE49-F238E27FC236}">
                  <a16:creationId xmlns:a16="http://schemas.microsoft.com/office/drawing/2014/main" id="{00000000-0008-0000-0900-00000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276225</xdr:colOff>
      <xdr:row>3</xdr:row>
      <xdr:rowOff>114300</xdr:rowOff>
    </xdr:to>
    <xdr:pic>
      <xdr:nvPicPr>
        <xdr:cNvPr id="2" name="Picture 1" descr="C:\My Documents\My Pictures\Amitron Logo.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blip>
        <a:srcRect/>
        <a:stretch>
          <a:fillRect/>
        </a:stretch>
      </xdr:blipFill>
      <xdr:spPr bwMode="auto">
        <a:xfrm>
          <a:off x="0" y="0"/>
          <a:ext cx="4139565" cy="61722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0</xdr:col>
          <xdr:colOff>190500</xdr:colOff>
          <xdr:row>67</xdr:row>
          <xdr:rowOff>152400</xdr:rowOff>
        </xdr:from>
        <xdr:to>
          <xdr:col>2</xdr:col>
          <xdr:colOff>406400</xdr:colOff>
          <xdr:row>69</xdr:row>
          <xdr:rowOff>31750</xdr:rowOff>
        </xdr:to>
        <xdr:sp macro="" textlink="">
          <xdr:nvSpPr>
            <xdr:cNvPr id="38913" name="CommandButton1" hidden="1">
              <a:extLst>
                <a:ext uri="{63B3BB69-23CF-44E3-9099-C40C66FF867C}">
                  <a14:compatExt spid="_x0000_s38913"/>
                </a:ext>
                <a:ext uri="{FF2B5EF4-FFF2-40B4-BE49-F238E27FC236}">
                  <a16:creationId xmlns:a16="http://schemas.microsoft.com/office/drawing/2014/main" id="{00000000-0008-0000-0A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67</xdr:row>
          <xdr:rowOff>152400</xdr:rowOff>
        </xdr:from>
        <xdr:to>
          <xdr:col>9</xdr:col>
          <xdr:colOff>298450</xdr:colOff>
          <xdr:row>69</xdr:row>
          <xdr:rowOff>31750</xdr:rowOff>
        </xdr:to>
        <xdr:sp macro="" textlink="">
          <xdr:nvSpPr>
            <xdr:cNvPr id="38914" name="CommandButton2" hidden="1">
              <a:extLst>
                <a:ext uri="{63B3BB69-23CF-44E3-9099-C40C66FF867C}">
                  <a14:compatExt spid="_x0000_s38914"/>
                </a:ext>
                <a:ext uri="{FF2B5EF4-FFF2-40B4-BE49-F238E27FC236}">
                  <a16:creationId xmlns:a16="http://schemas.microsoft.com/office/drawing/2014/main" id="{00000000-0008-0000-0A00-000002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146050</xdr:colOff>
          <xdr:row>67</xdr:row>
          <xdr:rowOff>152400</xdr:rowOff>
        </xdr:from>
        <xdr:to>
          <xdr:col>5</xdr:col>
          <xdr:colOff>317500</xdr:colOff>
          <xdr:row>69</xdr:row>
          <xdr:rowOff>31750</xdr:rowOff>
        </xdr:to>
        <xdr:sp macro="" textlink="">
          <xdr:nvSpPr>
            <xdr:cNvPr id="38915" name="CommandButton3" hidden="1">
              <a:extLst>
                <a:ext uri="{63B3BB69-23CF-44E3-9099-C40C66FF867C}">
                  <a14:compatExt spid="_x0000_s38915"/>
                </a:ext>
                <a:ext uri="{FF2B5EF4-FFF2-40B4-BE49-F238E27FC236}">
                  <a16:creationId xmlns:a16="http://schemas.microsoft.com/office/drawing/2014/main" id="{00000000-0008-0000-0A00-000003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831850</xdr:colOff>
          <xdr:row>5</xdr:row>
          <xdr:rowOff>209550</xdr:rowOff>
        </xdr:from>
        <xdr:to>
          <xdr:col>9</xdr:col>
          <xdr:colOff>330200</xdr:colOff>
          <xdr:row>7</xdr:row>
          <xdr:rowOff>38100</xdr:rowOff>
        </xdr:to>
        <xdr:sp macro="" textlink="">
          <xdr:nvSpPr>
            <xdr:cNvPr id="38916" name="CommandButton4" hidden="1">
              <a:extLst>
                <a:ext uri="{63B3BB69-23CF-44E3-9099-C40C66FF867C}">
                  <a14:compatExt spid="_x0000_s38916"/>
                </a:ext>
                <a:ext uri="{FF2B5EF4-FFF2-40B4-BE49-F238E27FC236}">
                  <a16:creationId xmlns:a16="http://schemas.microsoft.com/office/drawing/2014/main" id="{00000000-0008-0000-0A00-00000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114300</xdr:colOff>
          <xdr:row>3</xdr:row>
          <xdr:rowOff>57150</xdr:rowOff>
        </xdr:from>
        <xdr:to>
          <xdr:col>3</xdr:col>
          <xdr:colOff>838200</xdr:colOff>
          <xdr:row>5</xdr:row>
          <xdr:rowOff>82550</xdr:rowOff>
        </xdr:to>
        <xdr:sp macro="" textlink="">
          <xdr:nvSpPr>
            <xdr:cNvPr id="18433" name="CommandButton1" hidden="1">
              <a:extLst>
                <a:ext uri="{63B3BB69-23CF-44E3-9099-C40C66FF867C}">
                  <a14:compatExt spid="_x0000_s18433"/>
                </a:ext>
                <a:ext uri="{FF2B5EF4-FFF2-40B4-BE49-F238E27FC236}">
                  <a16:creationId xmlns:a16="http://schemas.microsoft.com/office/drawing/2014/main" id="{00000000-0008-0000-0B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165100</xdr:colOff>
          <xdr:row>3</xdr:row>
          <xdr:rowOff>57150</xdr:rowOff>
        </xdr:from>
        <xdr:to>
          <xdr:col>6</xdr:col>
          <xdr:colOff>241300</xdr:colOff>
          <xdr:row>5</xdr:row>
          <xdr:rowOff>50800</xdr:rowOff>
        </xdr:to>
        <xdr:sp macro="" textlink="">
          <xdr:nvSpPr>
            <xdr:cNvPr id="18434" name="CommandButton2" hidden="1">
              <a:extLst>
                <a:ext uri="{63B3BB69-23CF-44E3-9099-C40C66FF867C}">
                  <a14:compatExt spid="_x0000_s18434"/>
                </a:ext>
                <a:ext uri="{FF2B5EF4-FFF2-40B4-BE49-F238E27FC236}">
                  <a16:creationId xmlns:a16="http://schemas.microsoft.com/office/drawing/2014/main" id="{00000000-0008-0000-0B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Quote%20Calculato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Quote Worksheet"/>
      <sheetName val="Excel Quote Details"/>
      <sheetName val="Formal Quote"/>
      <sheetName val="Base Price - Master List"/>
      <sheetName val="Process Adders - Master List"/>
      <sheetName val="Gold Pricing"/>
    </sheetNames>
    <sheetDataSet>
      <sheetData sheetId="0">
        <row r="7">
          <cell r="I7">
            <v>104</v>
          </cell>
        </row>
        <row r="15">
          <cell r="E15">
            <v>0</v>
          </cell>
        </row>
        <row r="16">
          <cell r="E16">
            <v>0</v>
          </cell>
        </row>
        <row r="17">
          <cell r="E17">
            <v>40</v>
          </cell>
        </row>
        <row r="18">
          <cell r="E18">
            <v>0</v>
          </cell>
        </row>
        <row r="20">
          <cell r="E20">
            <v>24</v>
          </cell>
        </row>
        <row r="21">
          <cell r="E21">
            <v>0</v>
          </cell>
        </row>
        <row r="22">
          <cell r="E22">
            <v>0</v>
          </cell>
        </row>
        <row r="23">
          <cell r="E23">
            <v>0</v>
          </cell>
        </row>
        <row r="25">
          <cell r="E25">
            <v>12</v>
          </cell>
        </row>
        <row r="26">
          <cell r="E26">
            <v>0</v>
          </cell>
        </row>
        <row r="27">
          <cell r="E27">
            <v>0</v>
          </cell>
        </row>
        <row r="28">
          <cell r="E28">
            <v>8</v>
          </cell>
        </row>
        <row r="29">
          <cell r="E29">
            <v>0</v>
          </cell>
        </row>
        <row r="30">
          <cell r="E30">
            <v>20</v>
          </cell>
        </row>
        <row r="31">
          <cell r="E31">
            <v>0</v>
          </cell>
        </row>
        <row r="32">
          <cell r="E32">
            <v>0</v>
          </cell>
        </row>
        <row r="33">
          <cell r="E33">
            <v>0</v>
          </cell>
        </row>
        <row r="35">
          <cell r="E35">
            <v>0</v>
          </cell>
        </row>
        <row r="36">
          <cell r="E36">
            <v>0</v>
          </cell>
        </row>
        <row r="37">
          <cell r="E37">
            <v>0</v>
          </cell>
        </row>
        <row r="38">
          <cell r="E38">
            <v>0</v>
          </cell>
        </row>
        <row r="39">
          <cell r="E39">
            <v>0</v>
          </cell>
        </row>
        <row r="41">
          <cell r="E41">
            <v>0</v>
          </cell>
        </row>
      </sheetData>
      <sheetData sheetId="1">
        <row r="1">
          <cell r="B1">
            <v>0</v>
          </cell>
        </row>
        <row r="32">
          <cell r="B32">
            <v>1</v>
          </cell>
        </row>
      </sheetData>
      <sheetData sheetId="2"/>
      <sheetData sheetId="3"/>
      <sheetData sheetId="4"/>
      <sheetData sheetId="5"/>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5.xml"/><Relationship Id="rId21" Type="http://schemas.openxmlformats.org/officeDocument/2006/relationships/control" Target="../activeX/activeX10.xml"/><Relationship Id="rId42" Type="http://schemas.openxmlformats.org/officeDocument/2006/relationships/control" Target="../activeX/activeX31.xml"/><Relationship Id="rId47" Type="http://schemas.openxmlformats.org/officeDocument/2006/relationships/control" Target="../activeX/activeX36.xml"/><Relationship Id="rId63" Type="http://schemas.openxmlformats.org/officeDocument/2006/relationships/ctrlProp" Target="../ctrlProps/ctrlProp4.xml"/><Relationship Id="rId68" Type="http://schemas.openxmlformats.org/officeDocument/2006/relationships/ctrlProp" Target="../ctrlProps/ctrlProp9.xml"/><Relationship Id="rId84" Type="http://schemas.openxmlformats.org/officeDocument/2006/relationships/ctrlProp" Target="../ctrlProps/ctrlProp25.xml"/><Relationship Id="rId89" Type="http://schemas.openxmlformats.org/officeDocument/2006/relationships/ctrlProp" Target="../ctrlProps/ctrlProp30.xml"/><Relationship Id="rId112" Type="http://schemas.openxmlformats.org/officeDocument/2006/relationships/ctrlProp" Target="../ctrlProps/ctrlProp53.xml"/><Relationship Id="rId16" Type="http://schemas.openxmlformats.org/officeDocument/2006/relationships/control" Target="../activeX/activeX7.xml"/><Relationship Id="rId107" Type="http://schemas.openxmlformats.org/officeDocument/2006/relationships/ctrlProp" Target="../ctrlProps/ctrlProp48.xml"/><Relationship Id="rId11" Type="http://schemas.openxmlformats.org/officeDocument/2006/relationships/image" Target="../media/image4.emf"/><Relationship Id="rId32" Type="http://schemas.openxmlformats.org/officeDocument/2006/relationships/control" Target="../activeX/activeX21.xml"/><Relationship Id="rId37" Type="http://schemas.openxmlformats.org/officeDocument/2006/relationships/control" Target="../activeX/activeX26.xml"/><Relationship Id="rId53" Type="http://schemas.openxmlformats.org/officeDocument/2006/relationships/image" Target="../media/image10.emf"/><Relationship Id="rId58" Type="http://schemas.openxmlformats.org/officeDocument/2006/relationships/control" Target="../activeX/activeX43.xml"/><Relationship Id="rId74" Type="http://schemas.openxmlformats.org/officeDocument/2006/relationships/ctrlProp" Target="../ctrlProps/ctrlProp15.xml"/><Relationship Id="rId79" Type="http://schemas.openxmlformats.org/officeDocument/2006/relationships/ctrlProp" Target="../ctrlProps/ctrlProp20.xml"/><Relationship Id="rId102" Type="http://schemas.openxmlformats.org/officeDocument/2006/relationships/ctrlProp" Target="../ctrlProps/ctrlProp43.xml"/><Relationship Id="rId5" Type="http://schemas.openxmlformats.org/officeDocument/2006/relationships/image" Target="../media/image1.emf"/><Relationship Id="rId90" Type="http://schemas.openxmlformats.org/officeDocument/2006/relationships/ctrlProp" Target="../ctrlProps/ctrlProp31.xml"/><Relationship Id="rId95" Type="http://schemas.openxmlformats.org/officeDocument/2006/relationships/ctrlProp" Target="../ctrlProps/ctrlProp36.xml"/><Relationship Id="rId22" Type="http://schemas.openxmlformats.org/officeDocument/2006/relationships/control" Target="../activeX/activeX11.xml"/><Relationship Id="rId27" Type="http://schemas.openxmlformats.org/officeDocument/2006/relationships/control" Target="../activeX/activeX16.xml"/><Relationship Id="rId43" Type="http://schemas.openxmlformats.org/officeDocument/2006/relationships/control" Target="../activeX/activeX32.xml"/><Relationship Id="rId48" Type="http://schemas.openxmlformats.org/officeDocument/2006/relationships/control" Target="../activeX/activeX37.xml"/><Relationship Id="rId64" Type="http://schemas.openxmlformats.org/officeDocument/2006/relationships/ctrlProp" Target="../ctrlProps/ctrlProp5.xml"/><Relationship Id="rId69" Type="http://schemas.openxmlformats.org/officeDocument/2006/relationships/ctrlProp" Target="../ctrlProps/ctrlProp10.xml"/><Relationship Id="rId80" Type="http://schemas.openxmlformats.org/officeDocument/2006/relationships/ctrlProp" Target="../ctrlProps/ctrlProp21.xml"/><Relationship Id="rId85" Type="http://schemas.openxmlformats.org/officeDocument/2006/relationships/ctrlProp" Target="../ctrlProps/ctrlProp26.xml"/><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control" Target="../activeX/activeX22.xml"/><Relationship Id="rId38" Type="http://schemas.openxmlformats.org/officeDocument/2006/relationships/control" Target="../activeX/activeX27.xml"/><Relationship Id="rId59" Type="http://schemas.openxmlformats.org/officeDocument/2006/relationships/image" Target="../media/image13.emf"/><Relationship Id="rId103" Type="http://schemas.openxmlformats.org/officeDocument/2006/relationships/ctrlProp" Target="../ctrlProps/ctrlProp44.xml"/><Relationship Id="rId108" Type="http://schemas.openxmlformats.org/officeDocument/2006/relationships/ctrlProp" Target="../ctrlProps/ctrlProp49.xml"/><Relationship Id="rId54" Type="http://schemas.openxmlformats.org/officeDocument/2006/relationships/control" Target="../activeX/activeX41.xml"/><Relationship Id="rId70" Type="http://schemas.openxmlformats.org/officeDocument/2006/relationships/ctrlProp" Target="../ctrlProps/ctrlProp11.xml"/><Relationship Id="rId75" Type="http://schemas.openxmlformats.org/officeDocument/2006/relationships/ctrlProp" Target="../ctrlProps/ctrlProp16.xml"/><Relationship Id="rId91" Type="http://schemas.openxmlformats.org/officeDocument/2006/relationships/ctrlProp" Target="../ctrlProps/ctrlProp32.xml"/><Relationship Id="rId96"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control" Target="../activeX/activeX12.xml"/><Relationship Id="rId28" Type="http://schemas.openxmlformats.org/officeDocument/2006/relationships/control" Target="../activeX/activeX17.xml"/><Relationship Id="rId36" Type="http://schemas.openxmlformats.org/officeDocument/2006/relationships/control" Target="../activeX/activeX25.xml"/><Relationship Id="rId49" Type="http://schemas.openxmlformats.org/officeDocument/2006/relationships/control" Target="../activeX/activeX38.xml"/><Relationship Id="rId57" Type="http://schemas.openxmlformats.org/officeDocument/2006/relationships/image" Target="../media/image12.emf"/><Relationship Id="rId106" Type="http://schemas.openxmlformats.org/officeDocument/2006/relationships/ctrlProp" Target="../ctrlProps/ctrlProp47.xml"/><Relationship Id="rId10" Type="http://schemas.openxmlformats.org/officeDocument/2006/relationships/control" Target="../activeX/activeX4.xml"/><Relationship Id="rId31" Type="http://schemas.openxmlformats.org/officeDocument/2006/relationships/control" Target="../activeX/activeX20.xml"/><Relationship Id="rId44" Type="http://schemas.openxmlformats.org/officeDocument/2006/relationships/control" Target="../activeX/activeX33.xml"/><Relationship Id="rId52" Type="http://schemas.openxmlformats.org/officeDocument/2006/relationships/control" Target="../activeX/activeX40.xml"/><Relationship Id="rId60" Type="http://schemas.openxmlformats.org/officeDocument/2006/relationships/ctrlProp" Target="../ctrlProps/ctrlProp1.xml"/><Relationship Id="rId65" Type="http://schemas.openxmlformats.org/officeDocument/2006/relationships/ctrlProp" Target="../ctrlProps/ctrlProp6.xml"/><Relationship Id="rId73" Type="http://schemas.openxmlformats.org/officeDocument/2006/relationships/ctrlProp" Target="../ctrlProps/ctrlProp14.xml"/><Relationship Id="rId78" Type="http://schemas.openxmlformats.org/officeDocument/2006/relationships/ctrlProp" Target="../ctrlProps/ctrlProp19.xml"/><Relationship Id="rId81" Type="http://schemas.openxmlformats.org/officeDocument/2006/relationships/ctrlProp" Target="../ctrlProps/ctrlProp22.xml"/><Relationship Id="rId86" Type="http://schemas.openxmlformats.org/officeDocument/2006/relationships/ctrlProp" Target="../ctrlProps/ctrlProp27.xml"/><Relationship Id="rId94" Type="http://schemas.openxmlformats.org/officeDocument/2006/relationships/ctrlProp" Target="../ctrlProps/ctrlProp35.xml"/><Relationship Id="rId99" Type="http://schemas.openxmlformats.org/officeDocument/2006/relationships/ctrlProp" Target="../ctrlProps/ctrlProp40.xml"/><Relationship Id="rId101" Type="http://schemas.openxmlformats.org/officeDocument/2006/relationships/ctrlProp" Target="../ctrlProps/ctrlProp42.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control" Target="../activeX/activeX28.xml"/><Relationship Id="rId109" Type="http://schemas.openxmlformats.org/officeDocument/2006/relationships/ctrlProp" Target="../ctrlProps/ctrlProp50.xml"/><Relationship Id="rId34" Type="http://schemas.openxmlformats.org/officeDocument/2006/relationships/control" Target="../activeX/activeX23.xml"/><Relationship Id="rId50" Type="http://schemas.openxmlformats.org/officeDocument/2006/relationships/control" Target="../activeX/activeX39.xml"/><Relationship Id="rId55" Type="http://schemas.openxmlformats.org/officeDocument/2006/relationships/image" Target="../media/image11.emf"/><Relationship Id="rId76" Type="http://schemas.openxmlformats.org/officeDocument/2006/relationships/ctrlProp" Target="../ctrlProps/ctrlProp17.xml"/><Relationship Id="rId97" Type="http://schemas.openxmlformats.org/officeDocument/2006/relationships/ctrlProp" Target="../ctrlProps/ctrlProp38.xml"/><Relationship Id="rId104" Type="http://schemas.openxmlformats.org/officeDocument/2006/relationships/ctrlProp" Target="../ctrlProps/ctrlProp45.xml"/><Relationship Id="rId7" Type="http://schemas.openxmlformats.org/officeDocument/2006/relationships/image" Target="../media/image2.emf"/><Relationship Id="rId71" Type="http://schemas.openxmlformats.org/officeDocument/2006/relationships/ctrlProp" Target="../ctrlProps/ctrlProp12.xml"/><Relationship Id="rId92" Type="http://schemas.openxmlformats.org/officeDocument/2006/relationships/ctrlProp" Target="../ctrlProps/ctrlProp33.xml"/><Relationship Id="rId2" Type="http://schemas.openxmlformats.org/officeDocument/2006/relationships/drawing" Target="../drawings/drawing1.xml"/><Relationship Id="rId29" Type="http://schemas.openxmlformats.org/officeDocument/2006/relationships/control" Target="../activeX/activeX18.xml"/><Relationship Id="rId24" Type="http://schemas.openxmlformats.org/officeDocument/2006/relationships/control" Target="../activeX/activeX13.xml"/><Relationship Id="rId40" Type="http://schemas.openxmlformats.org/officeDocument/2006/relationships/control" Target="../activeX/activeX29.xml"/><Relationship Id="rId45" Type="http://schemas.openxmlformats.org/officeDocument/2006/relationships/control" Target="../activeX/activeX34.xml"/><Relationship Id="rId66" Type="http://schemas.openxmlformats.org/officeDocument/2006/relationships/ctrlProp" Target="../ctrlProps/ctrlProp7.xml"/><Relationship Id="rId87" Type="http://schemas.openxmlformats.org/officeDocument/2006/relationships/ctrlProp" Target="../ctrlProps/ctrlProp28.xml"/><Relationship Id="rId110" Type="http://schemas.openxmlformats.org/officeDocument/2006/relationships/ctrlProp" Target="../ctrlProps/ctrlProp51.xml"/><Relationship Id="rId61" Type="http://schemas.openxmlformats.org/officeDocument/2006/relationships/ctrlProp" Target="../ctrlProps/ctrlProp2.xml"/><Relationship Id="rId82" Type="http://schemas.openxmlformats.org/officeDocument/2006/relationships/ctrlProp" Target="../ctrlProps/ctrlProp23.xml"/><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9.xml"/><Relationship Id="rId35" Type="http://schemas.openxmlformats.org/officeDocument/2006/relationships/control" Target="../activeX/activeX24.xml"/><Relationship Id="rId56" Type="http://schemas.openxmlformats.org/officeDocument/2006/relationships/control" Target="../activeX/activeX42.xml"/><Relationship Id="rId77" Type="http://schemas.openxmlformats.org/officeDocument/2006/relationships/ctrlProp" Target="../ctrlProps/ctrlProp18.xml"/><Relationship Id="rId100" Type="http://schemas.openxmlformats.org/officeDocument/2006/relationships/ctrlProp" Target="../ctrlProps/ctrlProp41.xml"/><Relationship Id="rId105" Type="http://schemas.openxmlformats.org/officeDocument/2006/relationships/ctrlProp" Target="../ctrlProps/ctrlProp46.xml"/><Relationship Id="rId8" Type="http://schemas.openxmlformats.org/officeDocument/2006/relationships/control" Target="../activeX/activeX3.xml"/><Relationship Id="rId51" Type="http://schemas.openxmlformats.org/officeDocument/2006/relationships/image" Target="../media/image9.emf"/><Relationship Id="rId72" Type="http://schemas.openxmlformats.org/officeDocument/2006/relationships/ctrlProp" Target="../ctrlProps/ctrlProp13.xml"/><Relationship Id="rId93" Type="http://schemas.openxmlformats.org/officeDocument/2006/relationships/ctrlProp" Target="../ctrlProps/ctrlProp34.xml"/><Relationship Id="rId98" Type="http://schemas.openxmlformats.org/officeDocument/2006/relationships/ctrlProp" Target="../ctrlProps/ctrlProp39.xml"/><Relationship Id="rId3" Type="http://schemas.openxmlformats.org/officeDocument/2006/relationships/vmlDrawing" Target="../drawings/vmlDrawing1.vml"/><Relationship Id="rId25" Type="http://schemas.openxmlformats.org/officeDocument/2006/relationships/control" Target="../activeX/activeX14.xml"/><Relationship Id="rId46" Type="http://schemas.openxmlformats.org/officeDocument/2006/relationships/control" Target="../activeX/activeX35.xml"/><Relationship Id="rId67" Type="http://schemas.openxmlformats.org/officeDocument/2006/relationships/ctrlProp" Target="../ctrlProps/ctrlProp8.xml"/><Relationship Id="rId20" Type="http://schemas.openxmlformats.org/officeDocument/2006/relationships/control" Target="../activeX/activeX9.xml"/><Relationship Id="rId41" Type="http://schemas.openxmlformats.org/officeDocument/2006/relationships/control" Target="../activeX/activeX30.xml"/><Relationship Id="rId62" Type="http://schemas.openxmlformats.org/officeDocument/2006/relationships/ctrlProp" Target="../ctrlProps/ctrlProp3.xml"/><Relationship Id="rId83" Type="http://schemas.openxmlformats.org/officeDocument/2006/relationships/ctrlProp" Target="../ctrlProps/ctrlProp24.xml"/><Relationship Id="rId88" Type="http://schemas.openxmlformats.org/officeDocument/2006/relationships/ctrlProp" Target="../ctrlProps/ctrlProp29.xml"/><Relationship Id="rId111" Type="http://schemas.openxmlformats.org/officeDocument/2006/relationships/ctrlProp" Target="../ctrlProps/ctrlProp5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14.emf"/><Relationship Id="rId4" Type="http://schemas.openxmlformats.org/officeDocument/2006/relationships/control" Target="../activeX/activeX44.xml"/></Relationships>
</file>

<file path=xl/worksheets/_rels/sheet3.xml.rels><?xml version="1.0" encoding="UTF-8" standalone="yes"?>
<Relationships xmlns="http://schemas.openxmlformats.org/package/2006/relationships"><Relationship Id="rId13" Type="http://schemas.openxmlformats.org/officeDocument/2006/relationships/control" Target="../activeX/activeX53.xml"/><Relationship Id="rId18" Type="http://schemas.openxmlformats.org/officeDocument/2006/relationships/control" Target="../activeX/activeX57.xml"/><Relationship Id="rId26" Type="http://schemas.openxmlformats.org/officeDocument/2006/relationships/image" Target="../media/image17.emf"/><Relationship Id="rId39" Type="http://schemas.openxmlformats.org/officeDocument/2006/relationships/control" Target="../activeX/activeX77.xml"/><Relationship Id="rId21" Type="http://schemas.openxmlformats.org/officeDocument/2006/relationships/control" Target="../activeX/activeX60.xml"/><Relationship Id="rId34" Type="http://schemas.openxmlformats.org/officeDocument/2006/relationships/control" Target="../activeX/activeX72.xml"/><Relationship Id="rId42" Type="http://schemas.openxmlformats.org/officeDocument/2006/relationships/ctrlProp" Target="../ctrlProps/ctrlProp54.xml"/><Relationship Id="rId47" Type="http://schemas.openxmlformats.org/officeDocument/2006/relationships/ctrlProp" Target="../ctrlProps/ctrlProp59.xml"/><Relationship Id="rId7" Type="http://schemas.openxmlformats.org/officeDocument/2006/relationships/control" Target="../activeX/activeX47.xml"/><Relationship Id="rId2" Type="http://schemas.openxmlformats.org/officeDocument/2006/relationships/drawing" Target="../drawings/drawing3.xml"/><Relationship Id="rId16" Type="http://schemas.openxmlformats.org/officeDocument/2006/relationships/image" Target="../media/image16.emf"/><Relationship Id="rId29" Type="http://schemas.openxmlformats.org/officeDocument/2006/relationships/control" Target="../activeX/activeX67.xml"/><Relationship Id="rId1" Type="http://schemas.openxmlformats.org/officeDocument/2006/relationships/printerSettings" Target="../printerSettings/printerSettings3.bin"/><Relationship Id="rId6" Type="http://schemas.openxmlformats.org/officeDocument/2006/relationships/control" Target="../activeX/activeX46.xml"/><Relationship Id="rId11" Type="http://schemas.openxmlformats.org/officeDocument/2006/relationships/control" Target="../activeX/activeX51.xml"/><Relationship Id="rId24" Type="http://schemas.openxmlformats.org/officeDocument/2006/relationships/control" Target="../activeX/activeX63.xml"/><Relationship Id="rId32" Type="http://schemas.openxmlformats.org/officeDocument/2006/relationships/control" Target="../activeX/activeX70.xml"/><Relationship Id="rId37" Type="http://schemas.openxmlformats.org/officeDocument/2006/relationships/control" Target="../activeX/activeX75.xml"/><Relationship Id="rId40" Type="http://schemas.openxmlformats.org/officeDocument/2006/relationships/control" Target="../activeX/activeX78.xml"/><Relationship Id="rId45" Type="http://schemas.openxmlformats.org/officeDocument/2006/relationships/ctrlProp" Target="../ctrlProps/ctrlProp57.xml"/><Relationship Id="rId5" Type="http://schemas.openxmlformats.org/officeDocument/2006/relationships/image" Target="../media/image15.emf"/><Relationship Id="rId15" Type="http://schemas.openxmlformats.org/officeDocument/2006/relationships/control" Target="../activeX/activeX55.xml"/><Relationship Id="rId23" Type="http://schemas.openxmlformats.org/officeDocument/2006/relationships/control" Target="../activeX/activeX62.xml"/><Relationship Id="rId28" Type="http://schemas.openxmlformats.org/officeDocument/2006/relationships/control" Target="../activeX/activeX66.xml"/><Relationship Id="rId36" Type="http://schemas.openxmlformats.org/officeDocument/2006/relationships/control" Target="../activeX/activeX74.xml"/><Relationship Id="rId10" Type="http://schemas.openxmlformats.org/officeDocument/2006/relationships/control" Target="../activeX/activeX50.xml"/><Relationship Id="rId19" Type="http://schemas.openxmlformats.org/officeDocument/2006/relationships/control" Target="../activeX/activeX58.xml"/><Relationship Id="rId31" Type="http://schemas.openxmlformats.org/officeDocument/2006/relationships/control" Target="../activeX/activeX69.xml"/><Relationship Id="rId44" Type="http://schemas.openxmlformats.org/officeDocument/2006/relationships/ctrlProp" Target="../ctrlProps/ctrlProp56.xml"/><Relationship Id="rId4" Type="http://schemas.openxmlformats.org/officeDocument/2006/relationships/control" Target="../activeX/activeX45.xml"/><Relationship Id="rId9" Type="http://schemas.openxmlformats.org/officeDocument/2006/relationships/control" Target="../activeX/activeX49.xml"/><Relationship Id="rId14" Type="http://schemas.openxmlformats.org/officeDocument/2006/relationships/control" Target="../activeX/activeX54.xml"/><Relationship Id="rId22" Type="http://schemas.openxmlformats.org/officeDocument/2006/relationships/control" Target="../activeX/activeX61.xml"/><Relationship Id="rId27" Type="http://schemas.openxmlformats.org/officeDocument/2006/relationships/control" Target="../activeX/activeX65.xml"/><Relationship Id="rId30" Type="http://schemas.openxmlformats.org/officeDocument/2006/relationships/control" Target="../activeX/activeX68.xml"/><Relationship Id="rId35" Type="http://schemas.openxmlformats.org/officeDocument/2006/relationships/control" Target="../activeX/activeX73.xml"/><Relationship Id="rId43" Type="http://schemas.openxmlformats.org/officeDocument/2006/relationships/ctrlProp" Target="../ctrlProps/ctrlProp55.xml"/><Relationship Id="rId8" Type="http://schemas.openxmlformats.org/officeDocument/2006/relationships/control" Target="../activeX/activeX48.xml"/><Relationship Id="rId3" Type="http://schemas.openxmlformats.org/officeDocument/2006/relationships/vmlDrawing" Target="../drawings/vmlDrawing3.vml"/><Relationship Id="rId12" Type="http://schemas.openxmlformats.org/officeDocument/2006/relationships/control" Target="../activeX/activeX52.xml"/><Relationship Id="rId17" Type="http://schemas.openxmlformats.org/officeDocument/2006/relationships/control" Target="../activeX/activeX56.xml"/><Relationship Id="rId25" Type="http://schemas.openxmlformats.org/officeDocument/2006/relationships/control" Target="../activeX/activeX64.xml"/><Relationship Id="rId33" Type="http://schemas.openxmlformats.org/officeDocument/2006/relationships/control" Target="../activeX/activeX71.xml"/><Relationship Id="rId38" Type="http://schemas.openxmlformats.org/officeDocument/2006/relationships/control" Target="../activeX/activeX76.xml"/><Relationship Id="rId46" Type="http://schemas.openxmlformats.org/officeDocument/2006/relationships/ctrlProp" Target="../ctrlProps/ctrlProp58.xml"/><Relationship Id="rId20" Type="http://schemas.openxmlformats.org/officeDocument/2006/relationships/control" Target="../activeX/activeX59.xml"/><Relationship Id="rId41" Type="http://schemas.openxmlformats.org/officeDocument/2006/relationships/image" Target="../media/image18.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20.emf"/><Relationship Id="rId4" Type="http://schemas.openxmlformats.org/officeDocument/2006/relationships/control" Target="../activeX/activeX79.xml"/></Relationships>
</file>

<file path=xl/worksheets/_rels/sheet7.xml.rels><?xml version="1.0" encoding="UTF-8" standalone="yes"?>
<Relationships xmlns="http://schemas.openxmlformats.org/package/2006/relationships"><Relationship Id="rId117" Type="http://schemas.openxmlformats.org/officeDocument/2006/relationships/control" Target="../activeX/activeX153.xml"/><Relationship Id="rId21" Type="http://schemas.openxmlformats.org/officeDocument/2006/relationships/control" Target="../activeX/activeX90.xml"/><Relationship Id="rId42" Type="http://schemas.openxmlformats.org/officeDocument/2006/relationships/image" Target="../media/image39.emf"/><Relationship Id="rId63" Type="http://schemas.openxmlformats.org/officeDocument/2006/relationships/control" Target="../activeX/activeX113.xml"/><Relationship Id="rId84" Type="http://schemas.openxmlformats.org/officeDocument/2006/relationships/image" Target="../media/image48.emf"/><Relationship Id="rId138" Type="http://schemas.openxmlformats.org/officeDocument/2006/relationships/control" Target="../activeX/activeX167.xml"/><Relationship Id="rId159" Type="http://schemas.openxmlformats.org/officeDocument/2006/relationships/control" Target="../activeX/activeX179.xml"/><Relationship Id="rId170" Type="http://schemas.openxmlformats.org/officeDocument/2006/relationships/image" Target="../media/image83.emf"/><Relationship Id="rId107" Type="http://schemas.openxmlformats.org/officeDocument/2006/relationships/image" Target="../media/image58.emf"/><Relationship Id="rId11" Type="http://schemas.openxmlformats.org/officeDocument/2006/relationships/image" Target="../media/image25.emf"/><Relationship Id="rId32" Type="http://schemas.openxmlformats.org/officeDocument/2006/relationships/image" Target="../media/image34.emf"/><Relationship Id="rId53" Type="http://schemas.openxmlformats.org/officeDocument/2006/relationships/control" Target="../activeX/activeX106.xml"/><Relationship Id="rId74" Type="http://schemas.openxmlformats.org/officeDocument/2006/relationships/control" Target="../activeX/activeX124.xml"/><Relationship Id="rId128" Type="http://schemas.openxmlformats.org/officeDocument/2006/relationships/control" Target="../activeX/activeX161.xml"/><Relationship Id="rId149" Type="http://schemas.openxmlformats.org/officeDocument/2006/relationships/control" Target="../activeX/activeX174.xml"/><Relationship Id="rId5" Type="http://schemas.openxmlformats.org/officeDocument/2006/relationships/image" Target="../media/image22.emf"/><Relationship Id="rId95" Type="http://schemas.openxmlformats.org/officeDocument/2006/relationships/control" Target="../activeX/activeX140.xml"/><Relationship Id="rId160" Type="http://schemas.openxmlformats.org/officeDocument/2006/relationships/image" Target="../media/image78.emf"/><Relationship Id="rId181" Type="http://schemas.openxmlformats.org/officeDocument/2006/relationships/control" Target="../activeX/activeX190.xml"/><Relationship Id="rId22" Type="http://schemas.openxmlformats.org/officeDocument/2006/relationships/image" Target="../media/image29.emf"/><Relationship Id="rId43" Type="http://schemas.openxmlformats.org/officeDocument/2006/relationships/control" Target="../activeX/activeX101.xml"/><Relationship Id="rId64" Type="http://schemas.openxmlformats.org/officeDocument/2006/relationships/control" Target="../activeX/activeX114.xml"/><Relationship Id="rId118" Type="http://schemas.openxmlformats.org/officeDocument/2006/relationships/image" Target="../media/image62.emf"/><Relationship Id="rId139" Type="http://schemas.openxmlformats.org/officeDocument/2006/relationships/image" Target="../media/image69.emf"/><Relationship Id="rId85" Type="http://schemas.openxmlformats.org/officeDocument/2006/relationships/control" Target="../activeX/activeX134.xml"/><Relationship Id="rId150" Type="http://schemas.openxmlformats.org/officeDocument/2006/relationships/image" Target="../media/image73.emf"/><Relationship Id="rId171" Type="http://schemas.openxmlformats.org/officeDocument/2006/relationships/control" Target="../activeX/activeX185.xml"/><Relationship Id="rId12" Type="http://schemas.openxmlformats.org/officeDocument/2006/relationships/control" Target="../activeX/activeX84.xml"/><Relationship Id="rId33" Type="http://schemas.openxmlformats.org/officeDocument/2006/relationships/control" Target="../activeX/activeX96.xml"/><Relationship Id="rId108" Type="http://schemas.openxmlformats.org/officeDocument/2006/relationships/control" Target="../activeX/activeX147.xml"/><Relationship Id="rId129" Type="http://schemas.openxmlformats.org/officeDocument/2006/relationships/image" Target="../media/image65.emf"/><Relationship Id="rId54" Type="http://schemas.openxmlformats.org/officeDocument/2006/relationships/image" Target="../media/image45.emf"/><Relationship Id="rId75" Type="http://schemas.openxmlformats.org/officeDocument/2006/relationships/control" Target="../activeX/activeX125.xml"/><Relationship Id="rId96" Type="http://schemas.openxmlformats.org/officeDocument/2006/relationships/image" Target="../media/image53.emf"/><Relationship Id="rId140" Type="http://schemas.openxmlformats.org/officeDocument/2006/relationships/control" Target="../activeX/activeX168.xml"/><Relationship Id="rId161" Type="http://schemas.openxmlformats.org/officeDocument/2006/relationships/control" Target="../activeX/activeX180.xml"/><Relationship Id="rId182" Type="http://schemas.openxmlformats.org/officeDocument/2006/relationships/image" Target="../media/image89.emf"/><Relationship Id="rId6" Type="http://schemas.openxmlformats.org/officeDocument/2006/relationships/control" Target="../activeX/activeX81.xml"/><Relationship Id="rId23" Type="http://schemas.openxmlformats.org/officeDocument/2006/relationships/control" Target="../activeX/activeX91.xml"/><Relationship Id="rId119" Type="http://schemas.openxmlformats.org/officeDocument/2006/relationships/control" Target="../activeX/activeX154.xml"/><Relationship Id="rId44" Type="http://schemas.openxmlformats.org/officeDocument/2006/relationships/image" Target="../media/image40.emf"/><Relationship Id="rId65" Type="http://schemas.openxmlformats.org/officeDocument/2006/relationships/control" Target="../activeX/activeX115.xml"/><Relationship Id="rId86" Type="http://schemas.openxmlformats.org/officeDocument/2006/relationships/image" Target="../media/image49.emf"/><Relationship Id="rId130" Type="http://schemas.openxmlformats.org/officeDocument/2006/relationships/control" Target="../activeX/activeX162.xml"/><Relationship Id="rId151" Type="http://schemas.openxmlformats.org/officeDocument/2006/relationships/control" Target="../activeX/activeX175.xml"/><Relationship Id="rId172" Type="http://schemas.openxmlformats.org/officeDocument/2006/relationships/image" Target="../media/image84.emf"/><Relationship Id="rId13" Type="http://schemas.openxmlformats.org/officeDocument/2006/relationships/control" Target="../activeX/activeX85.xml"/><Relationship Id="rId18" Type="http://schemas.openxmlformats.org/officeDocument/2006/relationships/control" Target="../activeX/activeX88.xml"/><Relationship Id="rId39" Type="http://schemas.openxmlformats.org/officeDocument/2006/relationships/control" Target="../activeX/activeX99.xml"/><Relationship Id="rId109" Type="http://schemas.openxmlformats.org/officeDocument/2006/relationships/control" Target="../activeX/activeX148.xml"/><Relationship Id="rId34" Type="http://schemas.openxmlformats.org/officeDocument/2006/relationships/image" Target="../media/image35.emf"/><Relationship Id="rId50" Type="http://schemas.openxmlformats.org/officeDocument/2006/relationships/image" Target="../media/image43.emf"/><Relationship Id="rId55" Type="http://schemas.openxmlformats.org/officeDocument/2006/relationships/control" Target="../activeX/activeX107.xml"/><Relationship Id="rId76" Type="http://schemas.openxmlformats.org/officeDocument/2006/relationships/control" Target="../activeX/activeX126.xml"/><Relationship Id="rId97" Type="http://schemas.openxmlformats.org/officeDocument/2006/relationships/control" Target="../activeX/activeX141.xml"/><Relationship Id="rId104" Type="http://schemas.openxmlformats.org/officeDocument/2006/relationships/control" Target="../activeX/activeX145.xml"/><Relationship Id="rId120" Type="http://schemas.openxmlformats.org/officeDocument/2006/relationships/control" Target="../activeX/activeX155.xml"/><Relationship Id="rId125" Type="http://schemas.openxmlformats.org/officeDocument/2006/relationships/control" Target="../activeX/activeX159.xml"/><Relationship Id="rId141" Type="http://schemas.openxmlformats.org/officeDocument/2006/relationships/control" Target="../activeX/activeX169.xml"/><Relationship Id="rId146" Type="http://schemas.openxmlformats.org/officeDocument/2006/relationships/control" Target="../activeX/activeX172.xml"/><Relationship Id="rId167" Type="http://schemas.openxmlformats.org/officeDocument/2006/relationships/control" Target="../activeX/activeX183.xml"/><Relationship Id="rId188" Type="http://schemas.openxmlformats.org/officeDocument/2006/relationships/image" Target="../media/image91.emf"/><Relationship Id="rId7" Type="http://schemas.openxmlformats.org/officeDocument/2006/relationships/image" Target="../media/image23.emf"/><Relationship Id="rId71" Type="http://schemas.openxmlformats.org/officeDocument/2006/relationships/control" Target="../activeX/activeX121.xml"/><Relationship Id="rId92" Type="http://schemas.openxmlformats.org/officeDocument/2006/relationships/control" Target="../activeX/activeX138.xml"/><Relationship Id="rId162" Type="http://schemas.openxmlformats.org/officeDocument/2006/relationships/image" Target="../media/image79.emf"/><Relationship Id="rId183" Type="http://schemas.openxmlformats.org/officeDocument/2006/relationships/control" Target="../activeX/activeX191.xml"/><Relationship Id="rId2" Type="http://schemas.openxmlformats.org/officeDocument/2006/relationships/drawing" Target="../drawings/drawing5.xml"/><Relationship Id="rId29" Type="http://schemas.openxmlformats.org/officeDocument/2006/relationships/control" Target="../activeX/activeX94.xml"/><Relationship Id="rId24" Type="http://schemas.openxmlformats.org/officeDocument/2006/relationships/image" Target="../media/image30.emf"/><Relationship Id="rId40" Type="http://schemas.openxmlformats.org/officeDocument/2006/relationships/image" Target="../media/image38.emf"/><Relationship Id="rId45" Type="http://schemas.openxmlformats.org/officeDocument/2006/relationships/control" Target="../activeX/activeX102.xml"/><Relationship Id="rId66" Type="http://schemas.openxmlformats.org/officeDocument/2006/relationships/control" Target="../activeX/activeX116.xml"/><Relationship Id="rId87" Type="http://schemas.openxmlformats.org/officeDocument/2006/relationships/control" Target="../activeX/activeX135.xml"/><Relationship Id="rId110" Type="http://schemas.openxmlformats.org/officeDocument/2006/relationships/image" Target="../media/image59.emf"/><Relationship Id="rId115" Type="http://schemas.openxmlformats.org/officeDocument/2006/relationships/image" Target="../media/image61.emf"/><Relationship Id="rId131" Type="http://schemas.openxmlformats.org/officeDocument/2006/relationships/control" Target="../activeX/activeX163.xml"/><Relationship Id="rId136" Type="http://schemas.openxmlformats.org/officeDocument/2006/relationships/image" Target="../media/image68.emf"/><Relationship Id="rId157" Type="http://schemas.openxmlformats.org/officeDocument/2006/relationships/control" Target="../activeX/activeX178.xml"/><Relationship Id="rId178" Type="http://schemas.openxmlformats.org/officeDocument/2006/relationships/image" Target="../media/image87.emf"/><Relationship Id="rId61" Type="http://schemas.openxmlformats.org/officeDocument/2006/relationships/control" Target="../activeX/activeX111.xml"/><Relationship Id="rId82" Type="http://schemas.openxmlformats.org/officeDocument/2006/relationships/control" Target="../activeX/activeX132.xml"/><Relationship Id="rId152" Type="http://schemas.openxmlformats.org/officeDocument/2006/relationships/image" Target="../media/image74.emf"/><Relationship Id="rId173" Type="http://schemas.openxmlformats.org/officeDocument/2006/relationships/control" Target="../activeX/activeX186.xml"/><Relationship Id="rId19" Type="http://schemas.openxmlformats.org/officeDocument/2006/relationships/control" Target="../activeX/activeX89.xml"/><Relationship Id="rId14" Type="http://schemas.openxmlformats.org/officeDocument/2006/relationships/image" Target="../media/image26.emf"/><Relationship Id="rId30" Type="http://schemas.openxmlformats.org/officeDocument/2006/relationships/image" Target="../media/image33.emf"/><Relationship Id="rId35" Type="http://schemas.openxmlformats.org/officeDocument/2006/relationships/control" Target="../activeX/activeX97.xml"/><Relationship Id="rId56" Type="http://schemas.openxmlformats.org/officeDocument/2006/relationships/image" Target="../media/image46.emf"/><Relationship Id="rId77" Type="http://schemas.openxmlformats.org/officeDocument/2006/relationships/control" Target="../activeX/activeX127.xml"/><Relationship Id="rId100" Type="http://schemas.openxmlformats.org/officeDocument/2006/relationships/image" Target="../media/image55.emf"/><Relationship Id="rId105" Type="http://schemas.openxmlformats.org/officeDocument/2006/relationships/image" Target="../media/image57.emf"/><Relationship Id="rId126" Type="http://schemas.openxmlformats.org/officeDocument/2006/relationships/image" Target="../media/image64.emf"/><Relationship Id="rId147" Type="http://schemas.openxmlformats.org/officeDocument/2006/relationships/control" Target="../activeX/activeX173.xml"/><Relationship Id="rId168" Type="http://schemas.openxmlformats.org/officeDocument/2006/relationships/image" Target="../media/image82.emf"/><Relationship Id="rId8" Type="http://schemas.openxmlformats.org/officeDocument/2006/relationships/control" Target="../activeX/activeX82.xml"/><Relationship Id="rId51" Type="http://schemas.openxmlformats.org/officeDocument/2006/relationships/control" Target="../activeX/activeX105.xml"/><Relationship Id="rId72" Type="http://schemas.openxmlformats.org/officeDocument/2006/relationships/control" Target="../activeX/activeX122.xml"/><Relationship Id="rId93" Type="http://schemas.openxmlformats.org/officeDocument/2006/relationships/control" Target="../activeX/activeX139.xml"/><Relationship Id="rId98" Type="http://schemas.openxmlformats.org/officeDocument/2006/relationships/image" Target="../media/image54.emf"/><Relationship Id="rId121" Type="http://schemas.openxmlformats.org/officeDocument/2006/relationships/control" Target="../activeX/activeX156.xml"/><Relationship Id="rId142" Type="http://schemas.openxmlformats.org/officeDocument/2006/relationships/image" Target="../media/image70.emf"/><Relationship Id="rId163" Type="http://schemas.openxmlformats.org/officeDocument/2006/relationships/control" Target="../activeX/activeX181.xml"/><Relationship Id="rId184" Type="http://schemas.openxmlformats.org/officeDocument/2006/relationships/image" Target="../media/image10.emf"/><Relationship Id="rId3" Type="http://schemas.openxmlformats.org/officeDocument/2006/relationships/vmlDrawing" Target="../drawings/vmlDrawing5.vml"/><Relationship Id="rId25" Type="http://schemas.openxmlformats.org/officeDocument/2006/relationships/control" Target="../activeX/activeX92.xml"/><Relationship Id="rId46" Type="http://schemas.openxmlformats.org/officeDocument/2006/relationships/image" Target="../media/image41.emf"/><Relationship Id="rId67" Type="http://schemas.openxmlformats.org/officeDocument/2006/relationships/control" Target="../activeX/activeX117.xml"/><Relationship Id="rId116" Type="http://schemas.openxmlformats.org/officeDocument/2006/relationships/control" Target="../activeX/activeX152.xml"/><Relationship Id="rId137" Type="http://schemas.openxmlformats.org/officeDocument/2006/relationships/control" Target="../activeX/activeX166.xml"/><Relationship Id="rId158" Type="http://schemas.openxmlformats.org/officeDocument/2006/relationships/image" Target="../media/image77.emf"/><Relationship Id="rId20" Type="http://schemas.openxmlformats.org/officeDocument/2006/relationships/image" Target="../media/image28.emf"/><Relationship Id="rId41" Type="http://schemas.openxmlformats.org/officeDocument/2006/relationships/control" Target="../activeX/activeX100.xml"/><Relationship Id="rId62" Type="http://schemas.openxmlformats.org/officeDocument/2006/relationships/control" Target="../activeX/activeX112.xml"/><Relationship Id="rId83" Type="http://schemas.openxmlformats.org/officeDocument/2006/relationships/control" Target="../activeX/activeX133.xml"/><Relationship Id="rId88" Type="http://schemas.openxmlformats.org/officeDocument/2006/relationships/image" Target="../media/image50.emf"/><Relationship Id="rId111" Type="http://schemas.openxmlformats.org/officeDocument/2006/relationships/control" Target="../activeX/activeX149.xml"/><Relationship Id="rId132" Type="http://schemas.openxmlformats.org/officeDocument/2006/relationships/image" Target="../media/image66.emf"/><Relationship Id="rId153" Type="http://schemas.openxmlformats.org/officeDocument/2006/relationships/control" Target="../activeX/activeX176.xml"/><Relationship Id="rId174" Type="http://schemas.openxmlformats.org/officeDocument/2006/relationships/image" Target="../media/image85.emf"/><Relationship Id="rId179" Type="http://schemas.openxmlformats.org/officeDocument/2006/relationships/control" Target="../activeX/activeX189.xml"/><Relationship Id="rId15" Type="http://schemas.openxmlformats.org/officeDocument/2006/relationships/control" Target="../activeX/activeX86.xml"/><Relationship Id="rId36" Type="http://schemas.openxmlformats.org/officeDocument/2006/relationships/image" Target="../media/image36.emf"/><Relationship Id="rId57" Type="http://schemas.openxmlformats.org/officeDocument/2006/relationships/control" Target="../activeX/activeX108.xml"/><Relationship Id="rId106" Type="http://schemas.openxmlformats.org/officeDocument/2006/relationships/control" Target="../activeX/activeX146.xml"/><Relationship Id="rId127" Type="http://schemas.openxmlformats.org/officeDocument/2006/relationships/control" Target="../activeX/activeX160.xml"/><Relationship Id="rId10" Type="http://schemas.openxmlformats.org/officeDocument/2006/relationships/control" Target="../activeX/activeX83.xml"/><Relationship Id="rId31" Type="http://schemas.openxmlformats.org/officeDocument/2006/relationships/control" Target="../activeX/activeX95.xml"/><Relationship Id="rId52" Type="http://schemas.openxmlformats.org/officeDocument/2006/relationships/image" Target="../media/image44.emf"/><Relationship Id="rId73" Type="http://schemas.openxmlformats.org/officeDocument/2006/relationships/control" Target="../activeX/activeX123.xml"/><Relationship Id="rId78" Type="http://schemas.openxmlformats.org/officeDocument/2006/relationships/control" Target="../activeX/activeX128.xml"/><Relationship Id="rId94" Type="http://schemas.openxmlformats.org/officeDocument/2006/relationships/image" Target="../media/image52.emf"/><Relationship Id="rId99" Type="http://schemas.openxmlformats.org/officeDocument/2006/relationships/control" Target="../activeX/activeX142.xml"/><Relationship Id="rId101" Type="http://schemas.openxmlformats.org/officeDocument/2006/relationships/control" Target="../activeX/activeX143.xml"/><Relationship Id="rId122" Type="http://schemas.openxmlformats.org/officeDocument/2006/relationships/image" Target="../media/image63.emf"/><Relationship Id="rId143" Type="http://schemas.openxmlformats.org/officeDocument/2006/relationships/control" Target="../activeX/activeX170.xml"/><Relationship Id="rId148" Type="http://schemas.openxmlformats.org/officeDocument/2006/relationships/image" Target="../media/image72.emf"/><Relationship Id="rId164" Type="http://schemas.openxmlformats.org/officeDocument/2006/relationships/image" Target="../media/image80.emf"/><Relationship Id="rId169" Type="http://schemas.openxmlformats.org/officeDocument/2006/relationships/control" Target="../activeX/activeX184.xml"/><Relationship Id="rId185" Type="http://schemas.openxmlformats.org/officeDocument/2006/relationships/control" Target="../activeX/activeX192.xml"/><Relationship Id="rId4" Type="http://schemas.openxmlformats.org/officeDocument/2006/relationships/control" Target="../activeX/activeX80.xml"/><Relationship Id="rId9" Type="http://schemas.openxmlformats.org/officeDocument/2006/relationships/image" Target="../media/image24.emf"/><Relationship Id="rId180" Type="http://schemas.openxmlformats.org/officeDocument/2006/relationships/image" Target="../media/image88.emf"/><Relationship Id="rId26" Type="http://schemas.openxmlformats.org/officeDocument/2006/relationships/image" Target="../media/image31.emf"/><Relationship Id="rId47" Type="http://schemas.openxmlformats.org/officeDocument/2006/relationships/control" Target="../activeX/activeX103.xml"/><Relationship Id="rId68" Type="http://schemas.openxmlformats.org/officeDocument/2006/relationships/control" Target="../activeX/activeX118.xml"/><Relationship Id="rId89" Type="http://schemas.openxmlformats.org/officeDocument/2006/relationships/control" Target="../activeX/activeX136.xml"/><Relationship Id="rId112" Type="http://schemas.openxmlformats.org/officeDocument/2006/relationships/image" Target="../media/image60.emf"/><Relationship Id="rId133" Type="http://schemas.openxmlformats.org/officeDocument/2006/relationships/control" Target="../activeX/activeX164.xml"/><Relationship Id="rId154" Type="http://schemas.openxmlformats.org/officeDocument/2006/relationships/image" Target="../media/image75.emf"/><Relationship Id="rId175" Type="http://schemas.openxmlformats.org/officeDocument/2006/relationships/control" Target="../activeX/activeX187.xml"/><Relationship Id="rId16" Type="http://schemas.openxmlformats.org/officeDocument/2006/relationships/image" Target="../media/image27.emf"/><Relationship Id="rId37" Type="http://schemas.openxmlformats.org/officeDocument/2006/relationships/control" Target="../activeX/activeX98.xml"/><Relationship Id="rId58" Type="http://schemas.openxmlformats.org/officeDocument/2006/relationships/image" Target="../media/image47.emf"/><Relationship Id="rId79" Type="http://schemas.openxmlformats.org/officeDocument/2006/relationships/control" Target="../activeX/activeX129.xml"/><Relationship Id="rId102" Type="http://schemas.openxmlformats.org/officeDocument/2006/relationships/image" Target="../media/image56.emf"/><Relationship Id="rId123" Type="http://schemas.openxmlformats.org/officeDocument/2006/relationships/control" Target="../activeX/activeX157.xml"/><Relationship Id="rId144" Type="http://schemas.openxmlformats.org/officeDocument/2006/relationships/control" Target="../activeX/activeX171.xml"/><Relationship Id="rId90" Type="http://schemas.openxmlformats.org/officeDocument/2006/relationships/image" Target="../media/image51.emf"/><Relationship Id="rId165" Type="http://schemas.openxmlformats.org/officeDocument/2006/relationships/control" Target="../activeX/activeX182.xml"/><Relationship Id="rId186" Type="http://schemas.openxmlformats.org/officeDocument/2006/relationships/image" Target="../media/image90.emf"/><Relationship Id="rId27" Type="http://schemas.openxmlformats.org/officeDocument/2006/relationships/control" Target="../activeX/activeX93.xml"/><Relationship Id="rId48" Type="http://schemas.openxmlformats.org/officeDocument/2006/relationships/image" Target="../media/image42.emf"/><Relationship Id="rId69" Type="http://schemas.openxmlformats.org/officeDocument/2006/relationships/control" Target="../activeX/activeX119.xml"/><Relationship Id="rId113" Type="http://schemas.openxmlformats.org/officeDocument/2006/relationships/control" Target="../activeX/activeX150.xml"/><Relationship Id="rId134" Type="http://schemas.openxmlformats.org/officeDocument/2006/relationships/image" Target="../media/image67.emf"/><Relationship Id="rId80" Type="http://schemas.openxmlformats.org/officeDocument/2006/relationships/control" Target="../activeX/activeX130.xml"/><Relationship Id="rId155" Type="http://schemas.openxmlformats.org/officeDocument/2006/relationships/control" Target="../activeX/activeX177.xml"/><Relationship Id="rId176" Type="http://schemas.openxmlformats.org/officeDocument/2006/relationships/image" Target="../media/image86.emf"/><Relationship Id="rId17" Type="http://schemas.openxmlformats.org/officeDocument/2006/relationships/control" Target="../activeX/activeX87.xml"/><Relationship Id="rId38" Type="http://schemas.openxmlformats.org/officeDocument/2006/relationships/image" Target="../media/image37.emf"/><Relationship Id="rId59" Type="http://schemas.openxmlformats.org/officeDocument/2006/relationships/control" Target="../activeX/activeX109.xml"/><Relationship Id="rId103" Type="http://schemas.openxmlformats.org/officeDocument/2006/relationships/control" Target="../activeX/activeX144.xml"/><Relationship Id="rId124" Type="http://schemas.openxmlformats.org/officeDocument/2006/relationships/control" Target="../activeX/activeX158.xml"/><Relationship Id="rId70" Type="http://schemas.openxmlformats.org/officeDocument/2006/relationships/control" Target="../activeX/activeX120.xml"/><Relationship Id="rId91" Type="http://schemas.openxmlformats.org/officeDocument/2006/relationships/control" Target="../activeX/activeX137.xml"/><Relationship Id="rId145" Type="http://schemas.openxmlformats.org/officeDocument/2006/relationships/image" Target="../media/image71.emf"/><Relationship Id="rId166" Type="http://schemas.openxmlformats.org/officeDocument/2006/relationships/image" Target="../media/image81.emf"/><Relationship Id="rId187" Type="http://schemas.openxmlformats.org/officeDocument/2006/relationships/control" Target="../activeX/activeX193.xml"/><Relationship Id="rId1" Type="http://schemas.openxmlformats.org/officeDocument/2006/relationships/printerSettings" Target="../printerSettings/printerSettings7.bin"/><Relationship Id="rId28" Type="http://schemas.openxmlformats.org/officeDocument/2006/relationships/image" Target="../media/image32.emf"/><Relationship Id="rId49" Type="http://schemas.openxmlformats.org/officeDocument/2006/relationships/control" Target="../activeX/activeX104.xml"/><Relationship Id="rId114" Type="http://schemas.openxmlformats.org/officeDocument/2006/relationships/control" Target="../activeX/activeX151.xml"/><Relationship Id="rId60" Type="http://schemas.openxmlformats.org/officeDocument/2006/relationships/control" Target="../activeX/activeX110.xml"/><Relationship Id="rId81" Type="http://schemas.openxmlformats.org/officeDocument/2006/relationships/control" Target="../activeX/activeX131.xml"/><Relationship Id="rId135" Type="http://schemas.openxmlformats.org/officeDocument/2006/relationships/control" Target="../activeX/activeX165.xml"/><Relationship Id="rId156" Type="http://schemas.openxmlformats.org/officeDocument/2006/relationships/image" Target="../media/image76.emf"/><Relationship Id="rId177" Type="http://schemas.openxmlformats.org/officeDocument/2006/relationships/control" Target="../activeX/activeX188.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0.xml"/><Relationship Id="rId3" Type="http://schemas.openxmlformats.org/officeDocument/2006/relationships/vmlDrawing" Target="../drawings/vmlDrawing6.vml"/><Relationship Id="rId7" Type="http://schemas.openxmlformats.org/officeDocument/2006/relationships/image" Target="../media/image94.emf"/><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ntrol" Target="../activeX/activeX195.xml"/><Relationship Id="rId11" Type="http://schemas.openxmlformats.org/officeDocument/2006/relationships/comments" Target="../comments1.xml"/><Relationship Id="rId5" Type="http://schemas.openxmlformats.org/officeDocument/2006/relationships/image" Target="../media/image93.emf"/><Relationship Id="rId10" Type="http://schemas.openxmlformats.org/officeDocument/2006/relationships/ctrlProp" Target="../ctrlProps/ctrlProp62.xml"/><Relationship Id="rId4" Type="http://schemas.openxmlformats.org/officeDocument/2006/relationships/control" Target="../activeX/activeX194.xml"/><Relationship Id="rId9" Type="http://schemas.openxmlformats.org/officeDocument/2006/relationships/ctrlProp" Target="../ctrlProps/ctrlProp61.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98.xml"/><Relationship Id="rId3" Type="http://schemas.openxmlformats.org/officeDocument/2006/relationships/vmlDrawing" Target="../drawings/vmlDrawing7.vml"/><Relationship Id="rId7" Type="http://schemas.openxmlformats.org/officeDocument/2006/relationships/image" Target="../media/image96.emf"/><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ontrol" Target="../activeX/activeX197.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199.xml"/><Relationship Id="rId4" Type="http://schemas.openxmlformats.org/officeDocument/2006/relationships/control" Target="../activeX/activeX196.xml"/><Relationship Id="rId9" Type="http://schemas.openxmlformats.org/officeDocument/2006/relationships/image" Target="../media/image97.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02.xml"/><Relationship Id="rId3" Type="http://schemas.openxmlformats.org/officeDocument/2006/relationships/vmlDrawing" Target="../drawings/vmlDrawing8.vml"/><Relationship Id="rId7" Type="http://schemas.openxmlformats.org/officeDocument/2006/relationships/image" Target="../media/image100.emf"/><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ntrol" Target="../activeX/activeX201.xml"/><Relationship Id="rId11" Type="http://schemas.openxmlformats.org/officeDocument/2006/relationships/image" Target="../media/image102.emf"/><Relationship Id="rId5" Type="http://schemas.openxmlformats.org/officeDocument/2006/relationships/image" Target="../media/image99.emf"/><Relationship Id="rId10" Type="http://schemas.openxmlformats.org/officeDocument/2006/relationships/control" Target="../activeX/activeX203.xml"/><Relationship Id="rId4" Type="http://schemas.openxmlformats.org/officeDocument/2006/relationships/control" Target="../activeX/activeX200.xml"/><Relationship Id="rId9" Type="http://schemas.openxmlformats.org/officeDocument/2006/relationships/image" Target="../media/image101.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06.xml"/><Relationship Id="rId3" Type="http://schemas.openxmlformats.org/officeDocument/2006/relationships/vmlDrawing" Target="../drawings/vmlDrawing9.vml"/><Relationship Id="rId7" Type="http://schemas.openxmlformats.org/officeDocument/2006/relationships/image" Target="../media/image104.emf"/><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205.xml"/><Relationship Id="rId11" Type="http://schemas.openxmlformats.org/officeDocument/2006/relationships/image" Target="../media/image106.emf"/><Relationship Id="rId5" Type="http://schemas.openxmlformats.org/officeDocument/2006/relationships/image" Target="../media/image103.emf"/><Relationship Id="rId10" Type="http://schemas.openxmlformats.org/officeDocument/2006/relationships/control" Target="../activeX/activeX207.xml"/><Relationship Id="rId4" Type="http://schemas.openxmlformats.org/officeDocument/2006/relationships/control" Target="../activeX/activeX204.xml"/><Relationship Id="rId9" Type="http://schemas.openxmlformats.org/officeDocument/2006/relationships/image" Target="../media/image105.emf"/></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image" Target="../media/image108.emf"/><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ontrol" Target="../activeX/activeX209.xml"/><Relationship Id="rId5" Type="http://schemas.openxmlformats.org/officeDocument/2006/relationships/image" Target="../media/image107.emf"/><Relationship Id="rId4" Type="http://schemas.openxmlformats.org/officeDocument/2006/relationships/control" Target="../activeX/activeX20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39997558519241921"/>
    <pageSetUpPr autoPageBreaks="0" fitToPage="1"/>
  </sheetPr>
  <dimension ref="A1:Q70"/>
  <sheetViews>
    <sheetView showZeros="0" tabSelected="1" zoomScaleNormal="100" workbookViewId="0">
      <selection activeCell="C7" sqref="C7"/>
    </sheetView>
  </sheetViews>
  <sheetFormatPr defaultColWidth="0" defaultRowHeight="14.5" zeroHeight="1" x14ac:dyDescent="0.35"/>
  <cols>
    <col min="1" max="1" width="19" customWidth="1"/>
    <col min="2" max="2" width="25.26953125" style="1" customWidth="1"/>
    <col min="3" max="9" width="14.1796875" style="2" customWidth="1"/>
    <col min="10" max="12" width="14.1796875" customWidth="1"/>
    <col min="13" max="17" width="0" hidden="1" customWidth="1"/>
    <col min="18" max="16384" width="9.1796875" hidden="1"/>
  </cols>
  <sheetData>
    <row r="1" spans="1:14" ht="20.25" customHeight="1" thickTop="1" thickBot="1" x14ac:dyDescent="0.4">
      <c r="A1" s="439"/>
      <c r="B1" s="440"/>
      <c r="C1" s="440"/>
      <c r="D1" s="440"/>
      <c r="E1" s="440"/>
      <c r="F1" s="440"/>
      <c r="G1" s="440"/>
      <c r="H1" s="440"/>
      <c r="I1" s="440"/>
      <c r="J1" s="440"/>
      <c r="K1" s="440"/>
      <c r="L1" s="441"/>
    </row>
    <row r="2" spans="1:14" ht="22.5" customHeight="1" thickTop="1" thickBot="1" x14ac:dyDescent="0.4">
      <c r="A2" s="291"/>
      <c r="B2" s="420" t="s">
        <v>470</v>
      </c>
      <c r="C2" s="1" t="s">
        <v>163</v>
      </c>
      <c r="D2" s="229">
        <v>2</v>
      </c>
      <c r="E2" s="312"/>
      <c r="J2" s="314" t="s">
        <v>468</v>
      </c>
    </row>
    <row r="3" spans="1:14" ht="21.75" customHeight="1" x14ac:dyDescent="0.35">
      <c r="A3" s="445" t="s">
        <v>471</v>
      </c>
      <c r="B3" s="446"/>
      <c r="C3" s="130">
        <v>1</v>
      </c>
      <c r="D3" s="131">
        <v>8</v>
      </c>
      <c r="E3" s="131">
        <v>6</v>
      </c>
      <c r="F3" s="131">
        <v>4</v>
      </c>
      <c r="G3" s="132">
        <v>2</v>
      </c>
      <c r="H3" s="92" t="s">
        <v>143</v>
      </c>
      <c r="I3" s="89" t="s">
        <v>144</v>
      </c>
      <c r="J3" s="89" t="s">
        <v>145</v>
      </c>
      <c r="K3" s="89" t="s">
        <v>105</v>
      </c>
      <c r="L3" s="90" t="s">
        <v>4</v>
      </c>
    </row>
    <row r="4" spans="1:14" ht="21.75" customHeight="1" x14ac:dyDescent="0.4">
      <c r="A4" s="99" t="s">
        <v>197</v>
      </c>
      <c r="B4" s="227">
        <v>306624</v>
      </c>
      <c r="C4" s="169">
        <v>30</v>
      </c>
      <c r="D4" s="333">
        <f>ROUND((MAX((qty_one+MAX($H4*$C4+$I4*$C4/ups,$J4)+MAX(D$12*$C4+D$13*$C4/ups,D$14)+SUM(flat_adder)-SUM($J$68:$J$70)-$J$24)*(1+SUM(percent_adder)+$L4+D$16+INDEX(Sheet3!$C$22:$E$29,D$3,$D$2)),IF($D$2=3,HLOOKUP(INDEX(Sheet2!$C$10:$C$24,Sheet2!$C$9,1),Sheet3!$C$1:$Q$8,8,FALSE),0))+$K4+D$15+SUM($J$68:$J$70)+$J$24+$B$10*($B$11-1)+$B$12*($B$13-1))/$C4,2)*$C4/IF($C$3&gt;1,$C4,1)*IF($C$3=3,ups,1)*IF($C4&lt;1,0,1)</f>
        <v>4748.1000000000004</v>
      </c>
      <c r="E4" s="333">
        <f>ROUND((MAX((qty_one+MAX($H4*$C4+$I4*$C4/ups,$J4)+MAX(E$12*$C4+E$13*$C4/ups,E$14)+SUM(flat_adder)-SUM($J$68:$J$70)-$J$24)*(1+SUM(percent_adder)+$L4+E$16+INDEX(Sheet3!$C$22:$E$29,E$3,$D$2)),IF($D$2=3,HLOOKUP(INDEX(Sheet2!$C$10:$C$24,Sheet2!$C$9,1),Sheet3!$C$1:$Q$8,8,FALSE),0))+$K4+E$15+SUM($J$68:$J$70)+$J$24+$B$10*($B$11-1)+$B$12*($B$13-1))/$C4,2)*$C4/IF($C$3&gt;1,$C4,1)*IF($C$3=3,ups,1)*IF($C4&lt;1,0,1)</f>
        <v>3105.6</v>
      </c>
      <c r="F4" s="333">
        <f>ROUND((MAX((qty_one+MAX($H4*$C4+$I4*$C4/ups,$J4)+MAX(F$12*$C4+F$13*$C4/ups,F$14)+SUM(flat_adder)-SUM($J$68:$J$70)-$J$24)*(1+SUM(percent_adder)+$L4+F$16+INDEX(Sheet3!$C$22:$E$29,F$3,$D$2)),IF($D$2=3,HLOOKUP(INDEX(Sheet2!$C$10:$C$24,Sheet2!$C$9,1),Sheet3!$C$1:$Q$8,8,FALSE),0))+$K4+F$15+SUM($J$68:$J$70)+$J$24+$B$10*($B$11-1)+$B$12*($B$13-1))/$C4,2)*$C4/IF($C$3&gt;1,$C4,1)*IF($C$3=3,ups,1)*IF($C4&lt;1,0,1)</f>
        <v>1752</v>
      </c>
      <c r="G4" s="333">
        <f>ROUND((MAX((qty_one+MAX($H4*$C4+$I4*$C4/ups,$J4)+MAX(G$12*$C4+G$13*$C4/ups,G$14)+SUM(flat_adder)-SUM($J$68:$J$70)-$J$24)*(1+SUM(percent_adder)+$L4+G$16+INDEX(Sheet3!$C$22:$E$29,G$3,$D$2)),IF($D$2=3,HLOOKUP(INDEX(Sheet2!$C$10:$C$24,Sheet2!$C$9,1),Sheet3!$C$1:$Q$8,8,FALSE),0))+$K4+G$15+SUM($J$68:$J$70)+$J$24+$B$10*($B$11-1)+$B$12*($B$13-1))/$C4,2)*$C4/IF($C$3&gt;1,$C4,1)*IF($C$3=3,ups,1)*IF($C4&lt;1,0,1)</f>
        <v>1526.4</v>
      </c>
      <c r="H4" s="116"/>
      <c r="I4" s="117"/>
      <c r="J4" s="117"/>
      <c r="K4" s="117"/>
      <c r="L4" s="263"/>
    </row>
    <row r="5" spans="1:14" ht="21.75" customHeight="1" x14ac:dyDescent="0.4">
      <c r="A5" s="99"/>
      <c r="B5" s="285" t="s">
        <v>480</v>
      </c>
      <c r="C5" s="170">
        <v>60</v>
      </c>
      <c r="D5" s="334">
        <f>ROUND((MAX((qty_two+MAX($H5*$C5+$I5*$C5/ups,$J5)+MAX(D$12*$C5+D$13*$C5/ups,D$14)+SUM(flat_adder)-SUM($J$68:$J$70)-$J$24)*(1+SUM(percent_adder)+$L5+D$16+INDEX(Sheet3!$C$22:$E$29,D$3,$D$2)),IF($D$2=3,HLOOKUP(INDEX(Sheet2!$C$10:$C$24,Sheet2!$C$9,1),Sheet3!$C$1:$Q$8,8,FALSE),0))+$K5+D$15+SUM($J$68:$J$70)+$J$24+$B$10*($B$11-1)+$B$12*($B$13-1))/$C5,2)*$C5/IF($C$3&gt;1,$C5,1)*IF($C$3=3,ups,1)*IF($C5&lt;1,0,1)</f>
        <v>7248</v>
      </c>
      <c r="E5" s="334">
        <f>ROUND((MAX((qty_two+MAX($H5*$C5+$I5*$C5/ups,$J5)+MAX(E$12*$C5+E$13*$C5/ups,E$14)+SUM(flat_adder)-SUM($J$68:$J$70)-$J$24)*(1+SUM(percent_adder)+$L5+E$16+INDEX(Sheet3!$C$22:$E$29,E$3,$D$2)),IF($D$2=3,HLOOKUP(INDEX(Sheet2!$C$10:$C$24,Sheet2!$C$9,1),Sheet3!$C$1:$Q$8,8,FALSE),0))+$K5+E$15+SUM($J$68:$J$70)+$J$24+$B$10*($B$11-1)+$B$12*($B$13-1))/$C5,2)*$C5/IF($C$3&gt;1,$C5,1)*IF($C$3=3,ups,1)*IF($C5&lt;1,0,1)</f>
        <v>4665.6000000000004</v>
      </c>
      <c r="F5" s="334">
        <f>ROUND((MAX((qty_two+MAX($H5*$C5+$I5*$C5/ups,$J5)+MAX(F$12*$C5+F$13*$C5/ups,F$14)+SUM(flat_adder)-SUM($J$68:$J$70)-$J$24)*(1+SUM(percent_adder)+$L5+F$16+INDEX(Sheet3!$C$22:$E$29,F$3,$D$2)),IF($D$2=3,HLOOKUP(INDEX(Sheet2!$C$10:$C$24,Sheet2!$C$9,1),Sheet3!$C$1:$Q$8,8,FALSE),0))+$K5+F$15+SUM($J$68:$J$70)+$J$24+$B$10*($B$11-1)+$B$12*($B$13-1))/$C5,2)*$C5/IF($C$3&gt;1,$C5,1)*IF($C$3=3,ups,1)*IF($C5&lt;1,0,1)</f>
        <v>2536.8000000000002</v>
      </c>
      <c r="G5" s="335">
        <f>ROUND((MAX((qty_two+MAX($H5*$C5+$I5*$C5/ups,$J5)+MAX(G$12*$C5+G$13*$C5/ups,G$14)+SUM(flat_adder)-SUM($J$68:$J$70)-$J$24)*(1+SUM(percent_adder)+$L5+G$16+INDEX(Sheet3!$C$22:$E$29,G$3,$D$2)),IF($D$2=3,HLOOKUP(INDEX(Sheet2!$C$10:$C$24,Sheet2!$C$9,1),Sheet3!$C$1:$Q$8,8,FALSE),0))+$K5+G$15+SUM($J$68:$J$70)+$J$24+$B$10*($B$11-1)+$B$12*($B$13-1))/$C5,2)*$C5/IF($C$3&gt;1,$C5,1)*IF($C$3=3,ups,1)*IF($C5&lt;1,0,1)</f>
        <v>2182.1999999999998</v>
      </c>
      <c r="H5" s="118"/>
      <c r="I5" s="119"/>
      <c r="J5" s="119"/>
      <c r="K5" s="119"/>
      <c r="L5" s="264"/>
    </row>
    <row r="6" spans="1:14" ht="21.75" customHeight="1" x14ac:dyDescent="0.4">
      <c r="A6" s="99" t="s">
        <v>326</v>
      </c>
      <c r="B6" s="285" t="s">
        <v>481</v>
      </c>
      <c r="C6" s="170">
        <v>50</v>
      </c>
      <c r="D6" s="334">
        <f>ROUND((MAX((qty_three+MAX($H6*$C6+$I6*$C6/ups,$J6)+MAX(D$12*$C6+D$13*$C6/ups,D$14)+SUM(flat_adder)-SUM($J$68:$J$70)-$J$24)*(1+SUM(percent_adder)+$L6+D$16+INDEX(Sheet3!$C$22:$E$29,D$3,$D$2)),IF($D$2=3,HLOOKUP(INDEX(Sheet2!$C$10:$C$24,Sheet2!$C$9,1),Sheet3!$C$1:$Q$8,8,FALSE),0))+$K6+D$15+SUM($J$68:$J$70)+$J$24+$B$10*($B$11-1)+$B$12*($B$13-1))/$C6,2)*$C6/IF($C$3&gt;1,$C6,1)*IF($C$3=3,ups,1)*IF($C6&lt;1,0,1)</f>
        <v>6415.0000000000009</v>
      </c>
      <c r="E6" s="334">
        <f>ROUND((MAX((qty_three+MAX($H6*$C6+$I6*$C6/ups,$J6)+MAX(E$12*$C6+E$13*$C6/ups,E$14)+SUM(flat_adder)-SUM($J$68:$J$70)-$J$24)*(1+SUM(percent_adder)+$L6+E$16+INDEX(Sheet3!$C$22:$E$29,E$3,$D$2)),IF($D$2=3,HLOOKUP(INDEX(Sheet2!$C$10:$C$24,Sheet2!$C$9,1),Sheet3!$C$1:$Q$8,8,FALSE),0))+$K6+E$15+SUM($J$68:$J$70)+$J$24+$B$10*($B$11-1)+$B$12*($B$13-1))/$C6,2)*$C6/IF($C$3&gt;1,$C6,1)*IF($C$3=3,ups,1)*IF($C6&lt;1,0,1)</f>
        <v>4145.5</v>
      </c>
      <c r="F6" s="334">
        <f>ROUND((MAX((qty_three+MAX($H6*$C6+$I6*$C6/ups,$J6)+MAX(F$12*$C6+F$13*$C6/ups,F$14)+SUM(flat_adder)-SUM($J$68:$J$70)-$J$24)*(1+SUM(percent_adder)+$L6+F$16+INDEX(Sheet3!$C$22:$E$29,F$3,$D$2)),IF($D$2=3,HLOOKUP(INDEX(Sheet2!$C$10:$C$24,Sheet2!$C$9,1),Sheet3!$C$1:$Q$8,8,FALSE),0))+$K6+F$15+SUM($J$68:$J$70)+$J$24+$B$10*($B$11-1)+$B$12*($B$13-1))/$C6,2)*$C6/IF($C$3&gt;1,$C6,1)*IF($C$3=3,ups,1)*IF($C6&lt;1,0,1)</f>
        <v>2275.5</v>
      </c>
      <c r="G6" s="335">
        <f>ROUND((MAX((qty_three+MAX($H6*$C6+$I6*$C6/ups,$J6)+MAX(G$12*$C6+G$13*$C6/ups,G$14)+SUM(flat_adder)-SUM($J$68:$J$70)-$J$24)*(1+SUM(percent_adder)+$L6+G$16+INDEX(Sheet3!$C$22:$E$29,G$3,$D$2)),IF($D$2=3,HLOOKUP(INDEX(Sheet2!$C$10:$C$24,Sheet2!$C$9,1),Sheet3!$C$1:$Q$8,8,FALSE),0))+$K6+G$15+SUM($J$68:$J$70)+$J$24+$B$10*($B$11-1)+$B$12*($B$13-1))/$C6,2)*$C6/IF($C$3&gt;1,$C6,1)*IF($C$3=3,ups,1)*IF($C6&lt;1,0,1)</f>
        <v>1963.5000000000002</v>
      </c>
      <c r="H6" s="118"/>
      <c r="I6" s="119"/>
      <c r="J6" s="119"/>
      <c r="K6" s="119"/>
      <c r="L6" s="264"/>
    </row>
    <row r="7" spans="1:14" ht="21.75" customHeight="1" x14ac:dyDescent="0.4">
      <c r="A7" s="99"/>
      <c r="B7" s="283">
        <v>8</v>
      </c>
      <c r="C7" s="170"/>
      <c r="D7" s="334" t="e">
        <f>ROUND((MAX((qty_four+MAX($H7*$C7+$I7*$C7/ups,$J7)+MAX(D$12*$C7+D$13*$C7/ups,D$14)+SUM(flat_adder)-SUM($J$68:$J$70)-$J$24)*(1+SUM(percent_adder)+$L7+D$16+INDEX(Sheet3!$C$22:$E$29,D$3,$D$2)),IF($D$2=3,HLOOKUP(INDEX(Sheet2!$C$10:$C$24,Sheet2!$C$9,1),Sheet3!$C$1:$Q$8,8,FALSE),0))+$K7+D$15+SUM($J$68:$J$70)+$J$24+$B$10*($B$11-1)+$B$12*($B$13-1))/$C7,2)*$C7/IF($C$3&gt;1,$C7,1)*IF($C$3=3,ups,1)*IF($C7&lt;1,0,1)</f>
        <v>#DIV/0!</v>
      </c>
      <c r="E7" s="334" t="e">
        <f>ROUND((MAX((qty_four+MAX($H7*$C7+$I7*$C7/ups,$J7)+MAX(E$12*$C7+E$13*$C7/ups,E$14)+SUM(flat_adder)-SUM($J$68:$J$70))*(1+SUM(percent_adder)+$L7+E$16+INDEX(Sheet3!$C$22:$E$29,E$3,$D$2)),IF($D$2=3,HLOOKUP(INDEX(Sheet2!$C$10:$C$24,Sheet2!$C$9,1),Sheet3!$C$1:$Q$8,8,FALSE),0))+$K7+E$15+SUM($J$68:$J$70)+$B$10*($B$11-1)+$B$12*($B$13-1))/$C7,2)*$C7/IF($C$3&gt;1,$C7,1)*IF($C$3=3,ups,1)*IF($C7&lt;1,0,1)</f>
        <v>#DIV/0!</v>
      </c>
      <c r="F7" s="334" t="e">
        <f>ROUND((MAX((qty_four+MAX($H7*$C7+$I7*$C7/ups,$J7)+MAX(F$12*$C7+F$13*$C7/ups,F$14)+SUM(flat_adder)-SUM($J$68:$J$70))*(1+SUM(percent_adder)+$L7+F$16+INDEX(Sheet3!$C$22:$E$29,F$3,$D$2)),IF($D$2=3,HLOOKUP(INDEX(Sheet2!$C$10:$C$24,Sheet2!$C$9,1),Sheet3!$C$1:$Q$8,8,FALSE),0))+$K7+F$15+SUM($J$68:$J$70)+$B$10*($B$11-1)+$B$12*($B$13-1))/$C7,2)*$C7/IF($C$3&gt;1,$C7,1)*IF($C$3=3,ups,1)*IF($C7&lt;1,0,1)</f>
        <v>#DIV/0!</v>
      </c>
      <c r="G7" s="335" t="e">
        <f>ROUND((MAX((qty_four+MAX($H7*$C7+$I7*$C7/ups,$J7)+MAX(G$12*$C7+G$13*$C7/ups,G$14)+SUM(flat_adder)-SUM($J$68:$J$70))*(1+SUM(percent_adder)+$L7+G$16+INDEX(Sheet3!$C$22:$E$29,G$3,$D$2)),IF($D$2=3,HLOOKUP(INDEX(Sheet2!$C$10:$C$24,Sheet2!$C$9,1),Sheet3!$C$1:$Q$8,8,FALSE),0))+$K7+G$15+SUM($J$68:$J$70)+$B$10*($B$11-1)+$B$12*($B$13-1))/$C7,2)*$C7/IF($C$3&gt;1,$C7,1)*IF($C$3=3,ups,1)*IF($C7&lt;1,0,1)</f>
        <v>#DIV/0!</v>
      </c>
      <c r="H7" s="118"/>
      <c r="I7" s="119"/>
      <c r="J7" s="119"/>
      <c r="K7" s="119"/>
      <c r="L7" s="264"/>
    </row>
    <row r="8" spans="1:14" ht="21.75" customHeight="1" x14ac:dyDescent="0.4">
      <c r="A8" s="99"/>
      <c r="B8" s="228">
        <v>2</v>
      </c>
      <c r="C8" s="170"/>
      <c r="D8" s="334" t="e">
        <f>ROUND((MAX((qty_five+MAX($H8*$C8+$I8*$C8/ups,$J8)+MAX(D$12*$C8+D$13*$C8/ups,D$14)+SUM(flat_adder)-SUM($J$68:$J$70)-$J$24)*(1+SUM(percent_adder)+$L8+D$16+INDEX(Sheet3!$C$22:$E$29,D$3,$D$2)),IF($D$2=3,HLOOKUP(INDEX(Sheet2!$C$10:$C$24,Sheet2!$C$9,1),Sheet3!$C$1:$Q$8,8,FALSE),0))+$K8+D$15+SUM($J$68:$J$70)+$J$24+$B$10*($B$11-1)+$B$12*($B$13-1))/$C8,2)*$C8/IF($C$3&gt;1,$C8,1)*IF($C$3=3,ups,1)*IF($C8&lt;1,0,1)</f>
        <v>#DIV/0!</v>
      </c>
      <c r="E8" s="334" t="e">
        <f>ROUND((MAX((qty_five+MAX($H8*$C8+$I8*$C8/ups,$J8)+MAX(E$12*$C8+E$13*$C8/ups,E$14)+SUM(flat_adder)-SUM($J$68:$J$70)-$J$24)*(1+SUM(percent_adder)+$L8+E$16+INDEX(Sheet3!$C$22:$E$29,E$3,$D$2)),IF($D$2=3,HLOOKUP(INDEX(Sheet2!$C$10:$C$24,Sheet2!$C$9,1),Sheet3!$C$1:$Q$8,8,FALSE),0))+$K8+E$15+SUM($J$68:$J$70)+$J$24+$B$10*($B$11-1)+$B$12*($B$13-1))/$C8,2)*$C8/IF($C$3&gt;1,$C8,1)*IF($C$3=3,ups,1)*IF($C8&lt;1,0,1)</f>
        <v>#DIV/0!</v>
      </c>
      <c r="F8" s="334" t="e">
        <f>ROUND((MAX((qty_five+MAX($H8*$C8+$I8*$C8/ups,$J8)+MAX(F$12*$C8+F$13*$C8/ups,F$14)+SUM(flat_adder)-SUM($J$68:$J$70)-$J$24)*(1+SUM(percent_adder)+$L8+F$16+INDEX(Sheet3!$C$22:$E$29,F$3,$D$2)),IF($D$2=3,HLOOKUP(INDEX(Sheet2!$C$10:$C$24,Sheet2!$C$9,1),Sheet3!$C$1:$Q$8,8,FALSE),0))+$K8+F$15+SUM($J$68:$J$70)+$J$24+$B$10*($B$11-1)+$B$12*($B$13-1))/$C8,2)*$C8/IF($C$3&gt;1,$C8,1)*IF($C$3=3,ups,1)*IF($C8&lt;1,0,1)</f>
        <v>#DIV/0!</v>
      </c>
      <c r="G8" s="335" t="e">
        <f>ROUND((MAX((qty_five+MAX($H8*$C8+$I8*$C8/ups,$J8)+MAX(G$12*$C8+G$13*$C8/ups,G$14)+SUM(flat_adder)-SUM($J$68:$J$70)-$J$24)*(1+SUM(percent_adder)+$L8+G$16+INDEX(Sheet3!$C$22:$E$29,G$3,$D$2)),IF($D$2=3,HLOOKUP(INDEX(Sheet2!$C$10:$C$24,Sheet2!$C$9,1),Sheet3!$C$1:$Q$8,8,FALSE),0))+$K8+G$15+SUM($J$68:$J$70)+$J$24+$B$10*($B$11-1)+$B$12*($B$13-1))/$C8,2)*$C8/IF($C$3&gt;1,$C8,1)*IF($C$3=3,ups,1)*IF($C8&lt;1,0,1)</f>
        <v>#DIV/0!</v>
      </c>
      <c r="H8" s="118"/>
      <c r="I8" s="119"/>
      <c r="J8" s="119"/>
      <c r="K8" s="119"/>
      <c r="L8" s="264"/>
    </row>
    <row r="9" spans="1:14" ht="21.75" customHeight="1" x14ac:dyDescent="0.4">
      <c r="A9" s="99" t="s">
        <v>304</v>
      </c>
      <c r="B9" s="228">
        <v>2</v>
      </c>
      <c r="C9" s="170"/>
      <c r="D9" s="334" t="e">
        <f>ROUND((MAX((qty_six+MAX($H9*$C9+$I9*$C9/ups,$J9)+MAX(D$12*$C9+D$13*$C9/ups,D$14)+SUM(flat_adder)-SUM($J$68:$J$70)-$J$24)*(1+SUM(percent_adder)+$L9+D$16+INDEX(Sheet3!$C$22:$E$29,D$3,$D$2)),IF($D$2=3,HLOOKUP(INDEX(Sheet2!$C$10:$C$24,Sheet2!$C$9,1),Sheet3!$C$1:$Q$8,8,FALSE),0))+$K9+D$15+SUM($J$68:$J$70)+$J$24+$B$10*($B$11-1)+$B$12*($B$13-1))/$C9,2)*$C9/IF($C$3&gt;1,$C9,1)*IF($C$3=3,ups,1)*IF($C9&lt;1,0,1)</f>
        <v>#DIV/0!</v>
      </c>
      <c r="E9" s="334" t="e">
        <f>ROUND((MAX((qty_six+MAX($H9*$C9+$I9*$C9/ups,$J9)+MAX(E$12*$C9+E$13*$C9/ups,E$14)+SUM(flat_adder)-SUM($J$68:$J$70)-$J$24)*(1+SUM(percent_adder)+$L9+E$16+INDEX(Sheet3!$C$22:$E$29,E$3,$D$2)),IF($D$2=3,HLOOKUP(INDEX(Sheet2!$C$10:$C$24,Sheet2!$C$9,1),Sheet3!$C$1:$Q$8,8,FALSE),0))+$K9+E$15+SUM($J$68:$J$70)+$J$24+$B$10*($B$11-1)+$B$12*($B$13-1))/$C9,2)*$C9/IF($C$3&gt;1,$C9,1)*IF($C$3=3,ups,1)*IF($C9&lt;1,0,1)</f>
        <v>#DIV/0!</v>
      </c>
      <c r="F9" s="334" t="e">
        <f>ROUND((MAX((qty_six+MAX($H9*$C9+$I9*$C9/ups,$J9)+MAX(F$12*$C9+F$13*$C9/ups,F$14)+SUM(flat_adder)-SUM($J$68:$J$70)-$J$24)*(1+SUM(percent_adder)+$L9+F$16+INDEX(Sheet3!$C$22:$E$29,F$3,$D$2)),IF($D$2=3,HLOOKUP(INDEX(Sheet2!$C$10:$C$24,Sheet2!$C$9,1),Sheet3!$C$1:$Q$8,8,FALSE),0))+$K9+F$15+SUM($J$68:$J$70)+$J$24+$B$10*($B$11-1)+$B$12*($B$13-1))/$C9,2)*$C9/IF($C$3&gt;1,$C9,1)*IF($C$3=3,ups,1)*IF($C9&lt;1,0,1)</f>
        <v>#DIV/0!</v>
      </c>
      <c r="G9" s="335" t="e">
        <f>ROUND((MAX((qty_six+MAX($H9*$C9+$I9*$C9/ups,$J9)+MAX(G$12*$C9+G$13*$C9/ups,G$14)+SUM(flat_adder)-SUM($J$68:$J$70)-$J$24)*(1+SUM(percent_adder)+$L9+G$16+INDEX(Sheet3!$C$22:$E$29,G$3,$D$2)),IF($D$2=3,HLOOKUP(INDEX(Sheet2!$C$10:$C$24,Sheet2!$C$9,1),Sheet3!$C$1:$Q$8,8,FALSE),0))+$K9+G$15+SUM($J$68:$J$70)+$J$24+$B$10*($B$11-1)+$B$12*($B$13-1))/$C9,2)*$C9/IF($C$3&gt;1,$C9,1)*IF($C$3=3,ups,1)*IF($C9&lt;1,0,1)</f>
        <v>#DIV/0!</v>
      </c>
      <c r="H9" s="118"/>
      <c r="I9" s="119"/>
      <c r="J9" s="119"/>
      <c r="K9" s="119"/>
      <c r="L9" s="264"/>
    </row>
    <row r="10" spans="1:14" ht="21.75" customHeight="1" x14ac:dyDescent="0.4">
      <c r="A10" s="320" t="s">
        <v>158</v>
      </c>
      <c r="B10" s="322">
        <f>SUM(L20:L70)-L58</f>
        <v>270</v>
      </c>
      <c r="C10" s="170"/>
      <c r="D10" s="334" t="e">
        <f>ROUND((MAX((qty_seven+MAX($H10*$C10+$I10*$C10/ups,$J10)+MAX(D$12*$C10+D$13*$C10/ups,D$14)+SUM(flat_adder)-SUM($J$68:$J$70)-$J$24)*(1+SUM(percent_adder)+$L10+D$16+INDEX(Sheet3!$C$22:$E$29,D$3,$D$2)),IF($D$2=3,HLOOKUP(INDEX(Sheet2!$C$10:$C$24,Sheet2!$C$9,1),Sheet3!$C$1:$Q$8,8,FALSE),0))+$K10+D$15+SUM($J$68:$J$70)+$J$24+$B$10*($B$11-1)+$B$12*($B$13-1))/$C10,2)*$C10/IF($C$3&gt;1,$C10,1)*IF($C$3=3,ups,1)*IF($C10&lt;1,0,1)</f>
        <v>#DIV/0!</v>
      </c>
      <c r="E10" s="334" t="e">
        <f>ROUND((MAX((qty_seven+MAX($H10*$C10+$I10*$C10/ups,$J10)+MAX(E$12*$C10+E$13*$C10/ups,E$14)+SUM(flat_adder)-SUM($J$68:$J$70)-$J$24)*(1+SUM(percent_adder)+$L10+E$16+INDEX(Sheet3!$C$22:$E$29,E$3,$D$2)),IF($D$2=3,HLOOKUP(INDEX(Sheet2!$C$10:$C$24,Sheet2!$C$9,1),Sheet3!$C$1:$Q$8,8,FALSE),0))+$K10+E$15+SUM($J$68:$J$70)+$J$24+$B$10*($B$11-1)+$B$12*($B$13-1))/$C10,2)*$C10/IF($C$3&gt;1,$C10,1)*IF($C$3=3,ups,1)*IF($C10&lt;1,0,1)</f>
        <v>#DIV/0!</v>
      </c>
      <c r="F10" s="334" t="e">
        <f>ROUND((MAX((qty_seven+MAX($H10*$C10+$I10*$C10/ups,$J10)+MAX(F$12*$C10+F$13*$C10/ups,F$14)+SUM(flat_adder)-SUM($J$68:$J$70)-$J$24)*(1+SUM(percent_adder)+$L10+F$16+INDEX(Sheet3!$C$22:$E$29,F$3,$D$2)),IF($D$2=3,HLOOKUP(INDEX(Sheet2!$C$10:$C$24,Sheet2!$C$9,1),Sheet3!$C$1:$Q$8,8,FALSE),0))+$K10+F$15+SUM($J$68:$J$70)+$J$24+$B$10*($B$11-1)+$B$12*($B$13-1))/$C10,2)*$C10/IF($C$3&gt;1,$C10,1)*IF($C$3=3,ups,1)*IF($C10&lt;1,0,1)</f>
        <v>#DIV/0!</v>
      </c>
      <c r="G10" s="335" t="e">
        <f>ROUND((MAX((qty_seven+MAX($H10*$C10+$I10*$C10/ups,$J10)+MAX(G$12*$C10+G$13*$C10/ups,G$14)+SUM(flat_adder)-SUM($J$68:$J$70)-$J$24)*(1+SUM(percent_adder)+$L10+G$16+INDEX(Sheet3!$C$22:$E$29,G$3,$D$2)),IF($D$2=3,HLOOKUP(INDEX(Sheet2!$C$10:$C$24,Sheet2!$C$9,1),Sheet3!$C$1:$Q$8,8,FALSE),0))+$K10+G$15+SUM($J$68:$J$70)+$J$24+$B$10*($B$11-1)+$B$12*($B$13-1))/$C10,2)*$C10/IF($C$3&gt;1,$C10,1)*IF($C$3=3,ups,1)*IF($C10&lt;1,0,1)</f>
        <v>#DIV/0!</v>
      </c>
      <c r="H10" s="118"/>
      <c r="I10" s="119"/>
      <c r="J10" s="119"/>
      <c r="K10" s="119"/>
      <c r="L10" s="264"/>
    </row>
    <row r="11" spans="1:14" ht="21.75" customHeight="1" thickBot="1" x14ac:dyDescent="0.45">
      <c r="A11" s="321" t="s">
        <v>206</v>
      </c>
      <c r="B11" s="323">
        <v>2</v>
      </c>
      <c r="C11" s="171">
        <v>40</v>
      </c>
      <c r="D11" s="336">
        <f>ROUND((MAX((qty_eight+MAX($H11*$C11+$I11*$C11/ups,$J11)+MAX(D$12*$C11+D$13*$C11/ups,D$14)+SUM(flat_adder)-SUM($J$68:$J$70)-$J$24)*(1+SUM(percent_adder)+$L11+D$16+INDEX(Sheet3!$C$22:$E$29,D$3,$D$2)),IF($D$2=3,HLOOKUP(INDEX(Sheet2!$C$10:$C$24,Sheet2!$C$9,1),Sheet3!$C$1:$Q$8,8,FALSE),0))+$K11+D$15+SUM($J$68:$J$70)+$J$24+$B$10*($B$11-1)+$B$12*($B$13-1))/$C11,2)*$C11/IF($C$3&gt;1,$C11,1)*IF($C$3=3,ups,1)*IF($C11&lt;1,0,1)</f>
        <v>5581.5999999999995</v>
      </c>
      <c r="E11" s="336">
        <f>ROUND((MAX((qty_eight+MAX($H11*$C11+$I11*$C11/ups,$J11)+MAX(E$12*$C11+E$13*$C11/ups,E$14)+SUM(flat_adder)-SUM($J$68:$J$70)-$J$24)*(1+SUM(percent_adder)+$L11+E$16+INDEX(Sheet3!$C$22:$E$29,E$3,$D$2)),IF($D$2=3,HLOOKUP(INDEX(Sheet2!$C$10:$C$24,Sheet2!$C$9,1),Sheet3!$C$1:$Q$8,8,FALSE),0))+$K11+E$15+SUM($J$68:$J$70)+$J$24+$B$10*($B$11-1)+$B$12*($B$13-1))/$C11,2)*$C11/IF($C$3&gt;1,$C11,1)*IF($C$3=3,ups,1)*IF($C11&lt;1,0,1)</f>
        <v>3625.6</v>
      </c>
      <c r="F11" s="336">
        <f>ROUND((MAX((qty_eight+MAX($H11*$C11+$I11*$C11/ups,$J11)+MAX(F$12*$C11+F$13*$C11/ups,F$14)+SUM(flat_adder)-SUM($J$68:$J$70)-$J$24)*(1+SUM(percent_adder)+$L11+F$16+INDEX(Sheet3!$C$22:$E$29,F$3,$D$2)),IF($D$2=3,HLOOKUP(INDEX(Sheet2!$C$10:$C$24,Sheet2!$C$9,1),Sheet3!$C$1:$Q$8,8,FALSE),0))+$K11+F$15+SUM($J$68:$J$70)+$J$24+$B$10*($B$11-1)+$B$12*($B$13-1))/$C11,2)*$C11/IF($C$3&gt;1,$C11,1)*IF($C$3=3,ups,1)*IF($C11&lt;1,0,1)</f>
        <v>2013.6000000000001</v>
      </c>
      <c r="G11" s="337">
        <f>ROUND((MAX((qty_eight+MAX($H11*$C11+$I11*$C11/ups,$J11)+MAX(G$12*$C11+G$13*$C11/ups,G$14)+SUM(flat_adder)-SUM($J$68:$J$70)-$J$24)*(1+SUM(percent_adder)+$L11+G$16+INDEX(Sheet3!$C$22:$E$29,G$3,$D$2)),IF($D$2=3,HLOOKUP(INDEX(Sheet2!$C$10:$C$24,Sheet2!$C$9,1),Sheet3!$C$1:$Q$8,8,FALSE),0))+$K11+G$15+SUM($J$68:$J$70)+$J$24+$B$10*($B$11-1)+$B$12*($B$13-1))/$C11,2)*$C11/IF($C$3&gt;1,$C11,1)*IF($C$3=3,ups,1)*IF($C11&lt;1,0,1)</f>
        <v>1744.8</v>
      </c>
      <c r="H11" s="120"/>
      <c r="I11" s="121"/>
      <c r="J11" s="121"/>
      <c r="K11" s="121"/>
      <c r="L11" s="265"/>
      <c r="N11" s="172"/>
    </row>
    <row r="12" spans="1:14" ht="21.75" customHeight="1" x14ac:dyDescent="0.35">
      <c r="A12" s="320" t="s">
        <v>388</v>
      </c>
      <c r="B12" s="322">
        <f>L58</f>
        <v>110</v>
      </c>
      <c r="C12" s="93" t="s">
        <v>143</v>
      </c>
      <c r="D12" s="122"/>
      <c r="E12" s="123"/>
      <c r="F12" s="123"/>
      <c r="G12" s="124"/>
      <c r="H12" s="430" t="s">
        <v>479</v>
      </c>
      <c r="I12" s="431"/>
      <c r="J12" s="431"/>
      <c r="K12" s="431"/>
      <c r="L12" s="432"/>
    </row>
    <row r="13" spans="1:14" ht="21.75" customHeight="1" x14ac:dyDescent="0.35">
      <c r="A13" s="321" t="s">
        <v>206</v>
      </c>
      <c r="B13" s="323">
        <v>2</v>
      </c>
      <c r="C13" s="94" t="s">
        <v>144</v>
      </c>
      <c r="D13" s="119"/>
      <c r="E13" s="119"/>
      <c r="F13" s="119"/>
      <c r="G13" s="125"/>
      <c r="H13" s="433"/>
      <c r="I13" s="434"/>
      <c r="J13" s="434"/>
      <c r="K13" s="434"/>
      <c r="L13" s="435"/>
    </row>
    <row r="14" spans="1:14" ht="21.75" customHeight="1" x14ac:dyDescent="0.35">
      <c r="C14" s="94" t="s">
        <v>145</v>
      </c>
      <c r="D14" s="119"/>
      <c r="E14" s="119"/>
      <c r="F14" s="119"/>
      <c r="G14" s="125"/>
      <c r="H14" s="433"/>
      <c r="I14" s="434"/>
      <c r="J14" s="434"/>
      <c r="K14" s="434"/>
      <c r="L14" s="435"/>
    </row>
    <row r="15" spans="1:14" ht="21.75" customHeight="1" x14ac:dyDescent="0.35">
      <c r="A15" s="320" t="s">
        <v>387</v>
      </c>
      <c r="B15" s="326">
        <v>1</v>
      </c>
      <c r="C15" s="94" t="s">
        <v>105</v>
      </c>
      <c r="D15" s="119"/>
      <c r="E15" s="119"/>
      <c r="F15" s="119"/>
      <c r="G15" s="125"/>
      <c r="H15" s="433"/>
      <c r="I15" s="434"/>
      <c r="J15" s="434"/>
      <c r="K15" s="434"/>
      <c r="L15" s="435"/>
    </row>
    <row r="16" spans="1:14" ht="21.75" customHeight="1" thickBot="1" x14ac:dyDescent="0.4">
      <c r="C16" s="95" t="s">
        <v>4</v>
      </c>
      <c r="D16" s="166">
        <v>-0.1802</v>
      </c>
      <c r="E16" s="166"/>
      <c r="F16" s="166"/>
      <c r="G16" s="165"/>
      <c r="H16" s="436"/>
      <c r="I16" s="437"/>
      <c r="J16" s="437"/>
      <c r="K16" s="437"/>
      <c r="L16" s="438"/>
    </row>
    <row r="17" spans="1:12" ht="15" thickBot="1" x14ac:dyDescent="0.4">
      <c r="B17" s="4"/>
      <c r="C17"/>
      <c r="D17"/>
      <c r="E17"/>
      <c r="F17"/>
      <c r="G17"/>
      <c r="H17"/>
      <c r="I17"/>
    </row>
    <row r="18" spans="1:12" ht="15" hidden="1" thickBot="1" x14ac:dyDescent="0.4">
      <c r="B18" s="4"/>
      <c r="C18"/>
      <c r="D18"/>
      <c r="E18"/>
      <c r="F18"/>
      <c r="G18"/>
      <c r="H18"/>
      <c r="I18"/>
    </row>
    <row r="19" spans="1:12" s="3" customFormat="1" ht="15.5" thickTop="1" thickBot="1" x14ac:dyDescent="0.4">
      <c r="A19" s="449" t="s">
        <v>41</v>
      </c>
      <c r="B19" s="450"/>
      <c r="C19" s="450"/>
      <c r="D19" s="179"/>
      <c r="E19" s="179"/>
      <c r="F19" s="180"/>
      <c r="G19" s="96"/>
      <c r="H19" s="97"/>
      <c r="I19" s="97"/>
      <c r="J19" s="97"/>
      <c r="K19" s="97"/>
      <c r="L19" s="98"/>
    </row>
    <row r="20" spans="1:12" ht="22.5" customHeight="1" thickTop="1" x14ac:dyDescent="0.35">
      <c r="A20" s="86" t="s">
        <v>5</v>
      </c>
      <c r="B20" s="313">
        <v>6</v>
      </c>
      <c r="D20" s="424"/>
      <c r="E20" s="424"/>
      <c r="F20" s="425"/>
      <c r="G20" s="61">
        <f>Sheet2!C3</f>
        <v>0</v>
      </c>
      <c r="H20" s="62">
        <f>Sheet2!C4</f>
        <v>98.18</v>
      </c>
      <c r="I20" s="62">
        <f>Sheet2!C5</f>
        <v>0</v>
      </c>
      <c r="J20" s="62">
        <f>Sheet2!C6</f>
        <v>366.05</v>
      </c>
      <c r="K20" s="192">
        <f>Sheet2!C7</f>
        <v>0.02</v>
      </c>
      <c r="L20" s="64">
        <f>Sheet2!C8</f>
        <v>220</v>
      </c>
    </row>
    <row r="21" spans="1:12" ht="22.5" customHeight="1" x14ac:dyDescent="0.35">
      <c r="A21" s="86" t="s">
        <v>6</v>
      </c>
      <c r="B21" s="126">
        <v>1</v>
      </c>
      <c r="D21" s="424"/>
      <c r="E21" s="424"/>
      <c r="F21" s="425"/>
      <c r="G21" s="61">
        <f>Sheet2!D3</f>
        <v>0</v>
      </c>
      <c r="H21" s="62">
        <f>Sheet2!D4</f>
        <v>0</v>
      </c>
      <c r="I21" s="62">
        <f>Sheet2!D5</f>
        <v>0</v>
      </c>
      <c r="J21" s="62">
        <f>Sheet2!D6</f>
        <v>0</v>
      </c>
      <c r="K21" s="63">
        <f>Sheet2!D7</f>
        <v>0</v>
      </c>
      <c r="L21" s="64">
        <f>Sheet2!D8</f>
        <v>0</v>
      </c>
    </row>
    <row r="22" spans="1:12" ht="22.5" customHeight="1" x14ac:dyDescent="0.35">
      <c r="A22" s="86" t="s">
        <v>8</v>
      </c>
      <c r="B22" s="126">
        <v>2</v>
      </c>
      <c r="D22" s="424"/>
      <c r="E22" s="424"/>
      <c r="F22" s="425"/>
      <c r="G22" s="61">
        <f>Sheet2!E3</f>
        <v>0</v>
      </c>
      <c r="H22" s="62">
        <f>Sheet2!E4</f>
        <v>3.2</v>
      </c>
      <c r="I22" s="62">
        <f>Sheet2!E5</f>
        <v>0</v>
      </c>
      <c r="J22" s="62">
        <f>Sheet2!E6</f>
        <v>0</v>
      </c>
      <c r="K22" s="63">
        <f>Sheet2!E7</f>
        <v>0</v>
      </c>
      <c r="L22" s="64">
        <f>Sheet2!E8</f>
        <v>0</v>
      </c>
    </row>
    <row r="23" spans="1:12" ht="22.5" customHeight="1" x14ac:dyDescent="0.35">
      <c r="A23" s="86" t="s">
        <v>7</v>
      </c>
      <c r="B23" s="126">
        <v>2</v>
      </c>
      <c r="D23" s="424"/>
      <c r="E23" s="424"/>
      <c r="F23" s="425"/>
      <c r="G23" s="61">
        <f>Sheet2!F3</f>
        <v>0</v>
      </c>
      <c r="H23" s="62">
        <f>Sheet2!F4</f>
        <v>0</v>
      </c>
      <c r="I23" s="62">
        <f>Sheet2!F5</f>
        <v>0</v>
      </c>
      <c r="J23" s="62">
        <f>Sheet2!F6</f>
        <v>0</v>
      </c>
      <c r="K23" s="65">
        <f>Sheet2!F7</f>
        <v>0</v>
      </c>
      <c r="L23" s="64">
        <f>Sheet2!F8</f>
        <v>0</v>
      </c>
    </row>
    <row r="24" spans="1:12" ht="22.5" customHeight="1" x14ac:dyDescent="0.35">
      <c r="A24" s="86" t="s">
        <v>9</v>
      </c>
      <c r="B24" s="126">
        <v>2</v>
      </c>
      <c r="C24" s="229">
        <v>1</v>
      </c>
      <c r="D24" s="424"/>
      <c r="E24" s="424"/>
      <c r="F24" s="425"/>
      <c r="G24" s="61">
        <f>Sheet2!AH3+Sheet2!G3</f>
        <v>0</v>
      </c>
      <c r="H24" s="62">
        <f>Sheet2!G4+Sheet2!AH4</f>
        <v>17</v>
      </c>
      <c r="I24" s="62">
        <f>Sheet2!G5+Sheet2!AH5</f>
        <v>0</v>
      </c>
      <c r="J24" s="62">
        <f>Sheet2!G6+Sheet2!AH6</f>
        <v>0</v>
      </c>
      <c r="K24" s="63">
        <f>Sheet2!G7+Sheet2!AH7</f>
        <v>0</v>
      </c>
      <c r="L24" s="64">
        <f>Sheet2!G8+Sheet2!AH8</f>
        <v>0</v>
      </c>
    </row>
    <row r="25" spans="1:12" ht="22.5" customHeight="1" x14ac:dyDescent="0.35">
      <c r="A25" s="87" t="s">
        <v>10</v>
      </c>
      <c r="B25" s="127">
        <v>1</v>
      </c>
      <c r="C25" s="88"/>
      <c r="D25" s="426"/>
      <c r="E25" s="426"/>
      <c r="F25" s="427"/>
      <c r="G25" s="67">
        <f>Sheet2!H3</f>
        <v>0</v>
      </c>
      <c r="H25" s="68">
        <f>Sheet2!H4</f>
        <v>0</v>
      </c>
      <c r="I25" s="68">
        <f>Sheet2!H5</f>
        <v>0</v>
      </c>
      <c r="J25" s="68">
        <f>Sheet2!H6</f>
        <v>0</v>
      </c>
      <c r="K25" s="69">
        <f>Sheet2!H7</f>
        <v>0</v>
      </c>
      <c r="L25" s="70">
        <f>Sheet2!H8</f>
        <v>0</v>
      </c>
    </row>
    <row r="26" spans="1:12" hidden="1" x14ac:dyDescent="0.35">
      <c r="G26" s="75"/>
      <c r="H26" s="75"/>
      <c r="I26" s="75"/>
      <c r="J26" s="75"/>
      <c r="K26" s="75"/>
      <c r="L26" s="75"/>
    </row>
    <row r="27" spans="1:12" x14ac:dyDescent="0.35">
      <c r="A27" s="447" t="s">
        <v>39</v>
      </c>
      <c r="B27" s="448"/>
      <c r="C27" s="448"/>
      <c r="D27" s="181"/>
      <c r="E27" s="181"/>
      <c r="F27" s="182"/>
      <c r="G27" s="76"/>
      <c r="H27" s="77"/>
      <c r="I27" s="77"/>
      <c r="J27" s="78"/>
      <c r="K27" s="77"/>
      <c r="L27" s="79"/>
    </row>
    <row r="28" spans="1:12" ht="22.5" customHeight="1" x14ac:dyDescent="0.35">
      <c r="A28" s="84" t="s">
        <v>11</v>
      </c>
      <c r="B28" s="261">
        <v>2</v>
      </c>
      <c r="C28" s="85"/>
      <c r="D28" s="428"/>
      <c r="E28" s="428"/>
      <c r="F28" s="429"/>
      <c r="G28" s="61"/>
      <c r="H28" s="62">
        <f>Sheet2!J4</f>
        <v>8</v>
      </c>
      <c r="I28" s="62">
        <f>IF(B28&gt;0,Sheet2!J5,"")</f>
        <v>24</v>
      </c>
      <c r="J28" s="62"/>
      <c r="K28" s="63"/>
      <c r="L28" s="64"/>
    </row>
    <row r="29" spans="1:12" ht="22.5" customHeight="1" x14ac:dyDescent="0.35">
      <c r="A29" s="86" t="s">
        <v>15</v>
      </c>
      <c r="B29" s="262"/>
      <c r="D29" s="424"/>
      <c r="E29" s="424"/>
      <c r="F29" s="425"/>
      <c r="G29" s="61"/>
      <c r="H29" s="62">
        <f>Sheet2!K4</f>
        <v>0</v>
      </c>
      <c r="I29" s="62" t="str">
        <f>IF(B29&gt;0,Sheet2!K5,"")</f>
        <v/>
      </c>
      <c r="J29" s="62"/>
      <c r="K29" s="63"/>
      <c r="L29" s="64"/>
    </row>
    <row r="30" spans="1:12" ht="22.5" customHeight="1" x14ac:dyDescent="0.35">
      <c r="A30" s="86" t="s">
        <v>12</v>
      </c>
      <c r="B30" s="262"/>
      <c r="D30" s="424"/>
      <c r="E30" s="424"/>
      <c r="F30" s="425"/>
      <c r="G30" s="61"/>
      <c r="H30" s="62">
        <f>Sheet2!L4</f>
        <v>0</v>
      </c>
      <c r="I30" s="62" t="str">
        <f>IF(B30&gt;0,Sheet2!L5,"")</f>
        <v/>
      </c>
      <c r="J30" s="62"/>
      <c r="K30" s="63"/>
      <c r="L30" s="64"/>
    </row>
    <row r="31" spans="1:12" ht="22.5" customHeight="1" x14ac:dyDescent="0.35">
      <c r="A31" s="86" t="s">
        <v>13</v>
      </c>
      <c r="B31" s="262"/>
      <c r="D31" s="424"/>
      <c r="E31" s="424"/>
      <c r="F31" s="425"/>
      <c r="G31" s="61"/>
      <c r="H31" s="62">
        <f>Sheet2!M4</f>
        <v>0</v>
      </c>
      <c r="I31" s="62" t="str">
        <f>IF(B31&gt;0,Sheet2!M5,"")</f>
        <v/>
      </c>
      <c r="J31" s="62"/>
      <c r="K31" s="63"/>
      <c r="L31" s="64"/>
    </row>
    <row r="32" spans="1:12" ht="22.5" customHeight="1" x14ac:dyDescent="0.35">
      <c r="A32" s="86" t="s">
        <v>14</v>
      </c>
      <c r="B32" s="262"/>
      <c r="D32" s="424"/>
      <c r="E32" s="424"/>
      <c r="F32" s="425"/>
      <c r="G32" s="61"/>
      <c r="H32" s="62">
        <f>Sheet2!N4</f>
        <v>0</v>
      </c>
      <c r="I32" s="62" t="str">
        <f>IF(B32&gt;0,Sheet2!N5,"")</f>
        <v/>
      </c>
      <c r="J32" s="62"/>
      <c r="K32" s="63"/>
      <c r="L32" s="64"/>
    </row>
    <row r="33" spans="1:12" ht="22.5" customHeight="1" x14ac:dyDescent="0.35">
      <c r="A33" s="86" t="s">
        <v>317</v>
      </c>
      <c r="B33" s="262"/>
      <c r="D33" s="424"/>
      <c r="E33" s="424"/>
      <c r="F33" s="425"/>
      <c r="G33" s="61"/>
      <c r="H33" s="62">
        <f>Sheet2!O4</f>
        <v>0</v>
      </c>
      <c r="I33" s="62" t="str">
        <f>IF(B33&gt;0,Sheet2!O5,"")</f>
        <v/>
      </c>
      <c r="J33" s="62">
        <f>Sheet2!O6</f>
        <v>0</v>
      </c>
      <c r="K33" s="63">
        <f>Sheet2!O7</f>
        <v>0</v>
      </c>
      <c r="L33" s="64"/>
    </row>
    <row r="34" spans="1:12" ht="22.5" customHeight="1" x14ac:dyDescent="0.35">
      <c r="A34" s="87" t="s">
        <v>134</v>
      </c>
      <c r="B34" s="127">
        <v>1</v>
      </c>
      <c r="C34" s="88"/>
      <c r="D34" s="426"/>
      <c r="E34" s="426"/>
      <c r="F34" s="427"/>
      <c r="G34" s="67"/>
      <c r="H34" s="68">
        <f>Sheet2!P4</f>
        <v>0</v>
      </c>
      <c r="I34" s="68">
        <f>Sheet2!P5</f>
        <v>0</v>
      </c>
      <c r="J34" s="68">
        <f>Sheet2!P6</f>
        <v>0</v>
      </c>
      <c r="K34" s="69"/>
      <c r="L34" s="70"/>
    </row>
    <row r="35" spans="1:12" hidden="1" x14ac:dyDescent="0.35">
      <c r="G35" s="75"/>
      <c r="H35" s="75"/>
      <c r="I35" s="75"/>
      <c r="J35" s="75"/>
      <c r="K35" s="75"/>
      <c r="L35" s="75"/>
    </row>
    <row r="36" spans="1:12" x14ac:dyDescent="0.35">
      <c r="A36" s="447" t="s">
        <v>38</v>
      </c>
      <c r="B36" s="448"/>
      <c r="C36" s="448"/>
      <c r="D36" s="181"/>
      <c r="E36" s="181"/>
      <c r="F36" s="182"/>
      <c r="G36" s="76"/>
      <c r="H36" s="77"/>
      <c r="I36" s="77"/>
      <c r="J36" s="78"/>
      <c r="K36" s="77"/>
      <c r="L36" s="79"/>
    </row>
    <row r="37" spans="1:12" ht="22.5" customHeight="1" x14ac:dyDescent="0.35">
      <c r="A37" s="84" t="s">
        <v>16</v>
      </c>
      <c r="B37" s="128">
        <v>1</v>
      </c>
      <c r="C37" s="173"/>
      <c r="D37" s="428"/>
      <c r="E37" s="428"/>
      <c r="F37" s="429"/>
      <c r="G37" s="61">
        <f>Sheet2!R3</f>
        <v>0</v>
      </c>
      <c r="H37" s="62">
        <f>Sheet2!R4</f>
        <v>0</v>
      </c>
      <c r="I37" s="62">
        <f>Sheet2!R5</f>
        <v>0</v>
      </c>
      <c r="J37" s="62">
        <f>Sheet2!R6</f>
        <v>0</v>
      </c>
      <c r="K37" s="66">
        <f>Sheet2!R7</f>
        <v>0</v>
      </c>
      <c r="L37" s="64">
        <f>Sheet2!R8</f>
        <v>0</v>
      </c>
    </row>
    <row r="38" spans="1:12" ht="22.5" customHeight="1" x14ac:dyDescent="0.35">
      <c r="A38" s="86" t="s">
        <v>17</v>
      </c>
      <c r="B38" s="126">
        <v>1</v>
      </c>
      <c r="C38" s="230"/>
      <c r="D38" s="424"/>
      <c r="E38" s="424"/>
      <c r="F38" s="425"/>
      <c r="G38" s="61">
        <f>Sheet2!S3</f>
        <v>0</v>
      </c>
      <c r="H38" s="62">
        <f>Sheet2!S4</f>
        <v>0</v>
      </c>
      <c r="I38" s="62">
        <f>Sheet2!S5</f>
        <v>0</v>
      </c>
      <c r="J38" s="62">
        <f>Sheet2!S6</f>
        <v>0</v>
      </c>
      <c r="K38" s="63">
        <f>Sheet2!S7</f>
        <v>0</v>
      </c>
      <c r="L38" s="64">
        <f>Sheet2!S8</f>
        <v>0</v>
      </c>
    </row>
    <row r="39" spans="1:12" ht="22.5" customHeight="1" x14ac:dyDescent="0.35">
      <c r="A39" s="86" t="s">
        <v>18</v>
      </c>
      <c r="B39" s="126">
        <v>6</v>
      </c>
      <c r="C39" s="174">
        <v>12</v>
      </c>
      <c r="D39" s="424"/>
      <c r="E39" s="424"/>
      <c r="F39" s="425"/>
      <c r="G39" s="61">
        <f>Sheet2!T3</f>
        <v>0.38709677419354843</v>
      </c>
      <c r="H39" s="62">
        <f>Sheet2!T4</f>
        <v>2</v>
      </c>
      <c r="I39" s="62">
        <f>Sheet2!T5</f>
        <v>0</v>
      </c>
      <c r="J39" s="62">
        <f>Sheet2!T6</f>
        <v>5</v>
      </c>
      <c r="K39" s="63">
        <f>Sheet2!T7</f>
        <v>0</v>
      </c>
      <c r="L39" s="64">
        <f>Sheet2!T8</f>
        <v>10</v>
      </c>
    </row>
    <row r="40" spans="1:12" ht="22.5" customHeight="1" x14ac:dyDescent="0.35">
      <c r="A40" s="86" t="s">
        <v>164</v>
      </c>
      <c r="B40" s="260"/>
      <c r="C40" s="231"/>
      <c r="D40" s="424"/>
      <c r="E40" s="424"/>
      <c r="F40" s="425"/>
      <c r="G40" s="61">
        <f>Sheet2!U3</f>
        <v>0</v>
      </c>
      <c r="H40" s="62">
        <f>Sheet2!U4</f>
        <v>0</v>
      </c>
      <c r="I40" s="62">
        <f>Sheet2!U5</f>
        <v>0</v>
      </c>
      <c r="J40" s="62">
        <f>Sheet2!U6</f>
        <v>0</v>
      </c>
      <c r="K40" s="63">
        <f>Sheet2!U7</f>
        <v>0</v>
      </c>
      <c r="L40" s="64">
        <f>Sheet2!U8</f>
        <v>0</v>
      </c>
    </row>
    <row r="41" spans="1:12" ht="22.5" customHeight="1" x14ac:dyDescent="0.35">
      <c r="A41" s="86" t="s">
        <v>19</v>
      </c>
      <c r="B41" s="126">
        <v>1</v>
      </c>
      <c r="C41" s="230"/>
      <c r="D41" s="424"/>
      <c r="E41" s="424"/>
      <c r="F41" s="425"/>
      <c r="G41" s="61">
        <f>Sheet2!V3</f>
        <v>0</v>
      </c>
      <c r="H41" s="62">
        <f>Sheet2!V4</f>
        <v>0</v>
      </c>
      <c r="I41" s="62">
        <f>Sheet2!V5</f>
        <v>0</v>
      </c>
      <c r="J41" s="62">
        <f>Sheet2!V6</f>
        <v>0</v>
      </c>
      <c r="K41" s="63">
        <f>Sheet2!V7</f>
        <v>0</v>
      </c>
      <c r="L41" s="64">
        <f>Sheet2!V8</f>
        <v>0</v>
      </c>
    </row>
    <row r="42" spans="1:12" ht="22.5" customHeight="1" x14ac:dyDescent="0.35">
      <c r="A42" s="86" t="s">
        <v>20</v>
      </c>
      <c r="B42" s="126">
        <v>2</v>
      </c>
      <c r="C42" s="175">
        <v>5</v>
      </c>
      <c r="D42" s="424"/>
      <c r="E42" s="424"/>
      <c r="F42" s="425"/>
      <c r="G42" s="61">
        <f>Sheet2!W3</f>
        <v>0.125</v>
      </c>
      <c r="H42" s="62">
        <f>Sheet2!W4</f>
        <v>0</v>
      </c>
      <c r="I42" s="62">
        <f>Sheet2!W5</f>
        <v>2</v>
      </c>
      <c r="J42" s="62">
        <f>Sheet2!W6</f>
        <v>5</v>
      </c>
      <c r="K42" s="63">
        <f>Sheet2!W7</f>
        <v>0</v>
      </c>
      <c r="L42" s="64">
        <f>Sheet2!W8</f>
        <v>10</v>
      </c>
    </row>
    <row r="43" spans="1:12" ht="22.5" customHeight="1" x14ac:dyDescent="0.35">
      <c r="A43" s="87" t="s">
        <v>21</v>
      </c>
      <c r="B43" s="127">
        <v>1</v>
      </c>
      <c r="C43" s="232"/>
      <c r="D43" s="426"/>
      <c r="E43" s="426"/>
      <c r="F43" s="427"/>
      <c r="G43" s="67">
        <f>Sheet2!X3</f>
        <v>0</v>
      </c>
      <c r="H43" s="68">
        <f>Sheet2!X4</f>
        <v>0</v>
      </c>
      <c r="I43" s="68">
        <f>Sheet2!X5</f>
        <v>0</v>
      </c>
      <c r="J43" s="68">
        <f>Sheet2!X6</f>
        <v>0</v>
      </c>
      <c r="K43" s="69">
        <f>Sheet2!X7</f>
        <v>0</v>
      </c>
      <c r="L43" s="70">
        <f>Sheet2!X8</f>
        <v>0</v>
      </c>
    </row>
    <row r="44" spans="1:12" hidden="1" x14ac:dyDescent="0.35">
      <c r="G44" s="75"/>
      <c r="H44" s="75"/>
      <c r="I44" s="75"/>
      <c r="J44" s="75"/>
      <c r="K44" s="75"/>
      <c r="L44" s="75"/>
    </row>
    <row r="45" spans="1:12" x14ac:dyDescent="0.35">
      <c r="A45" s="447" t="s">
        <v>36</v>
      </c>
      <c r="B45" s="448"/>
      <c r="C45" s="448"/>
      <c r="D45" s="181"/>
      <c r="E45" s="181"/>
      <c r="F45" s="182"/>
      <c r="G45" s="76"/>
      <c r="H45" s="77"/>
      <c r="I45" s="77"/>
      <c r="J45" s="78"/>
      <c r="K45" s="77"/>
      <c r="L45" s="79"/>
    </row>
    <row r="46" spans="1:12" ht="22.5" customHeight="1" x14ac:dyDescent="0.35">
      <c r="A46" s="84" t="s">
        <v>22</v>
      </c>
      <c r="B46" s="128">
        <v>1</v>
      </c>
      <c r="C46" s="129">
        <v>2</v>
      </c>
      <c r="D46" s="428" t="s">
        <v>482</v>
      </c>
      <c r="E46" s="428"/>
      <c r="F46" s="429"/>
      <c r="G46" s="61">
        <f>Sheet2!Z3</f>
        <v>0</v>
      </c>
      <c r="H46" s="62">
        <f>Sheet2!Z4</f>
        <v>0</v>
      </c>
      <c r="I46" s="62">
        <f>Sheet2!Z5</f>
        <v>0</v>
      </c>
      <c r="J46" s="62">
        <f>Sheet2!Z6</f>
        <v>0</v>
      </c>
      <c r="K46" s="65">
        <f>Sheet2!Z7</f>
        <v>0</v>
      </c>
      <c r="L46" s="64">
        <f>Sheet2!Z8</f>
        <v>20</v>
      </c>
    </row>
    <row r="47" spans="1:12" ht="22.5" customHeight="1" x14ac:dyDescent="0.35">
      <c r="A47" s="86" t="s">
        <v>23</v>
      </c>
      <c r="B47" s="126">
        <v>2</v>
      </c>
      <c r="C47" s="229">
        <v>2</v>
      </c>
      <c r="D47" s="424"/>
      <c r="E47" s="424"/>
      <c r="F47" s="425"/>
      <c r="G47" s="61">
        <f>Sheet2!AA3</f>
        <v>0</v>
      </c>
      <c r="H47" s="62">
        <f>Sheet2!AA4</f>
        <v>0.5</v>
      </c>
      <c r="I47" s="62">
        <f>Sheet2!AA5</f>
        <v>0</v>
      </c>
      <c r="J47" s="62">
        <f>Sheet2!AA6</f>
        <v>10</v>
      </c>
      <c r="K47" s="63">
        <f>Sheet2!AA7</f>
        <v>0</v>
      </c>
      <c r="L47" s="64">
        <f>Sheet2!AA8</f>
        <v>10</v>
      </c>
    </row>
    <row r="48" spans="1:12" ht="22.5" customHeight="1" x14ac:dyDescent="0.35">
      <c r="A48" s="86" t="s">
        <v>205</v>
      </c>
      <c r="B48" s="126">
        <v>1</v>
      </c>
      <c r="D48" s="424"/>
      <c r="E48" s="424"/>
      <c r="F48" s="425"/>
      <c r="G48" s="61">
        <f>Sheet2!AB3</f>
        <v>0</v>
      </c>
      <c r="H48" s="62">
        <f>Sheet2!AB4</f>
        <v>0</v>
      </c>
      <c r="I48" s="62">
        <f>Sheet2!AB5</f>
        <v>0</v>
      </c>
      <c r="J48" s="62">
        <f>Sheet2!AB6</f>
        <v>0</v>
      </c>
      <c r="K48" s="63">
        <f>Sheet2!AB7</f>
        <v>0</v>
      </c>
      <c r="L48" s="64">
        <f>Sheet2!AB8</f>
        <v>0</v>
      </c>
    </row>
    <row r="49" spans="1:12" ht="22.5" customHeight="1" x14ac:dyDescent="0.35">
      <c r="A49" s="86" t="s">
        <v>24</v>
      </c>
      <c r="B49" s="126">
        <v>1</v>
      </c>
      <c r="D49" s="424"/>
      <c r="E49" s="424"/>
      <c r="F49" s="425"/>
      <c r="G49" s="61">
        <f>Sheet2!AC3</f>
        <v>0</v>
      </c>
      <c r="H49" s="62">
        <f>Sheet2!AC4</f>
        <v>0</v>
      </c>
      <c r="I49" s="62">
        <f>Sheet2!AC5</f>
        <v>0</v>
      </c>
      <c r="J49" s="62">
        <f>Sheet2!AC6</f>
        <v>0</v>
      </c>
      <c r="K49" s="63">
        <f>Sheet2!AC7</f>
        <v>0</v>
      </c>
      <c r="L49" s="64">
        <f>Sheet2!AC8</f>
        <v>0</v>
      </c>
    </row>
    <row r="50" spans="1:12" ht="22.5" customHeight="1" x14ac:dyDescent="0.35">
      <c r="A50" s="87" t="s">
        <v>166</v>
      </c>
      <c r="B50" s="127">
        <v>1</v>
      </c>
      <c r="C50" s="88"/>
      <c r="D50" s="426"/>
      <c r="E50" s="426"/>
      <c r="F50" s="427"/>
      <c r="G50" s="67">
        <f>Sheet2!AD3</f>
        <v>0</v>
      </c>
      <c r="H50" s="68">
        <f>Sheet2!AD4</f>
        <v>0</v>
      </c>
      <c r="I50" s="68">
        <f>Sheet2!AD5</f>
        <v>0</v>
      </c>
      <c r="J50" s="68">
        <f>Sheet2!AD6</f>
        <v>0</v>
      </c>
      <c r="K50" s="69">
        <f>Sheet2!AD7</f>
        <v>0</v>
      </c>
      <c r="L50" s="70">
        <f>Sheet2!AD8</f>
        <v>0</v>
      </c>
    </row>
    <row r="51" spans="1:12" hidden="1" x14ac:dyDescent="0.35">
      <c r="G51" s="75"/>
      <c r="H51" s="75"/>
      <c r="I51" s="75"/>
      <c r="J51" s="75"/>
      <c r="K51" s="75"/>
      <c r="L51" s="75"/>
    </row>
    <row r="52" spans="1:12" x14ac:dyDescent="0.35">
      <c r="A52" s="447" t="s">
        <v>37</v>
      </c>
      <c r="B52" s="448"/>
      <c r="C52" s="448"/>
      <c r="D52" s="181"/>
      <c r="E52" s="181"/>
      <c r="F52" s="182"/>
      <c r="G52" s="80"/>
      <c r="H52" s="81"/>
      <c r="I52" s="81"/>
      <c r="J52" s="82"/>
      <c r="K52" s="81"/>
      <c r="L52" s="83"/>
    </row>
    <row r="53" spans="1:12" ht="22.5" customHeight="1" x14ac:dyDescent="0.35">
      <c r="A53" s="84" t="s">
        <v>25</v>
      </c>
      <c r="B53" s="128">
        <v>1</v>
      </c>
      <c r="C53" s="85"/>
      <c r="D53" s="428"/>
      <c r="E53" s="428"/>
      <c r="F53" s="429"/>
      <c r="G53" s="71">
        <f>Sheet2!AF3</f>
        <v>0</v>
      </c>
      <c r="H53" s="72">
        <f>Sheet2!AF4</f>
        <v>0</v>
      </c>
      <c r="I53" s="72">
        <f>Sheet2!AF5</f>
        <v>0</v>
      </c>
      <c r="J53" s="72">
        <f>Sheet2!AF6</f>
        <v>0</v>
      </c>
      <c r="K53" s="73">
        <f>Sheet2!AF7</f>
        <v>0</v>
      </c>
      <c r="L53" s="74">
        <f>Sheet2!AF8</f>
        <v>0</v>
      </c>
    </row>
    <row r="54" spans="1:12" ht="22.5" customHeight="1" x14ac:dyDescent="0.35">
      <c r="A54" s="86" t="s">
        <v>375</v>
      </c>
      <c r="B54" s="126">
        <v>1</v>
      </c>
      <c r="D54" s="424"/>
      <c r="E54" s="424"/>
      <c r="F54" s="425"/>
      <c r="G54" s="61">
        <f>Sheet2!AG3</f>
        <v>0</v>
      </c>
      <c r="H54" s="62">
        <f>Sheet2!AG4</f>
        <v>0</v>
      </c>
      <c r="I54" s="62">
        <f>Sheet2!AG5</f>
        <v>0</v>
      </c>
      <c r="J54" s="62">
        <f>Sheet2!AG6</f>
        <v>0</v>
      </c>
      <c r="K54" s="63">
        <f>Sheet2!AG7</f>
        <v>0</v>
      </c>
      <c r="L54" s="64">
        <f>Sheet2!AG8</f>
        <v>0</v>
      </c>
    </row>
    <row r="55" spans="1:12" ht="22.5" customHeight="1" x14ac:dyDescent="0.35">
      <c r="A55" s="87"/>
      <c r="B55" s="127"/>
      <c r="C55" s="88"/>
      <c r="D55" s="426"/>
      <c r="E55" s="426"/>
      <c r="F55" s="427"/>
      <c r="G55" s="67"/>
      <c r="H55" s="68"/>
      <c r="I55" s="68"/>
      <c r="J55" s="68"/>
      <c r="K55" s="69"/>
      <c r="L55" s="70"/>
    </row>
    <row r="56" spans="1:12" hidden="1" x14ac:dyDescent="0.35">
      <c r="G56" s="75"/>
      <c r="H56" s="75"/>
      <c r="I56" s="75"/>
      <c r="J56" s="75"/>
      <c r="K56" s="75"/>
      <c r="L56" s="75"/>
    </row>
    <row r="57" spans="1:12" x14ac:dyDescent="0.35">
      <c r="A57" s="447" t="s">
        <v>40</v>
      </c>
      <c r="B57" s="448"/>
      <c r="C57" s="448"/>
      <c r="D57" s="181"/>
      <c r="E57" s="181"/>
      <c r="F57" s="182"/>
      <c r="G57" s="80"/>
      <c r="H57" s="81"/>
      <c r="I57" s="81"/>
      <c r="J57" s="82"/>
      <c r="K57" s="81"/>
      <c r="L57" s="83"/>
    </row>
    <row r="58" spans="1:12" ht="22.5" customHeight="1" x14ac:dyDescent="0.35">
      <c r="A58" s="84" t="s">
        <v>140</v>
      </c>
      <c r="B58" s="128">
        <v>1</v>
      </c>
      <c r="C58" s="176">
        <v>470</v>
      </c>
      <c r="D58" s="428"/>
      <c r="E58" s="428"/>
      <c r="F58" s="429"/>
      <c r="G58" s="71">
        <f>Sheet2!AJ3</f>
        <v>0.59499999999999997</v>
      </c>
      <c r="H58" s="72">
        <f>Sheet2!AJ4</f>
        <v>0</v>
      </c>
      <c r="I58" s="72">
        <f>Sheet2!AJ5</f>
        <v>0</v>
      </c>
      <c r="J58" s="72">
        <f>Sheet2!AJ6</f>
        <v>0</v>
      </c>
      <c r="K58" s="73">
        <f>Sheet2!AJ7</f>
        <v>0</v>
      </c>
      <c r="L58" s="74">
        <f>Sheet2!AJ8</f>
        <v>110</v>
      </c>
    </row>
    <row r="59" spans="1:12" ht="22.5" customHeight="1" x14ac:dyDescent="0.35">
      <c r="A59" s="86" t="s">
        <v>382</v>
      </c>
      <c r="B59" s="126">
        <v>1</v>
      </c>
      <c r="D59" s="424"/>
      <c r="E59" s="424"/>
      <c r="F59" s="425"/>
      <c r="G59" s="61">
        <f>Sheet2!AK3</f>
        <v>0</v>
      </c>
      <c r="H59" s="62">
        <f>Sheet2!AK4</f>
        <v>0</v>
      </c>
      <c r="I59" s="62">
        <f>Sheet2!AK5</f>
        <v>0</v>
      </c>
      <c r="J59" s="62">
        <f>Sheet2!AK6</f>
        <v>0</v>
      </c>
      <c r="K59" s="63">
        <f>Sheet2!AK7</f>
        <v>0</v>
      </c>
      <c r="L59" s="64">
        <f>Sheet2!AK8</f>
        <v>0</v>
      </c>
    </row>
    <row r="60" spans="1:12" ht="22.5" customHeight="1" x14ac:dyDescent="0.35">
      <c r="A60" s="86" t="s">
        <v>316</v>
      </c>
      <c r="B60" s="126">
        <v>1</v>
      </c>
      <c r="D60" s="424"/>
      <c r="E60" s="424"/>
      <c r="F60" s="425"/>
      <c r="G60" s="61">
        <f>Sheet2!AL3</f>
        <v>0</v>
      </c>
      <c r="H60" s="62">
        <f>Sheet2!AL4</f>
        <v>0</v>
      </c>
      <c r="I60" s="62">
        <f>Sheet2!AL5</f>
        <v>0</v>
      </c>
      <c r="J60" s="62">
        <f>Sheet2!AL6</f>
        <v>0</v>
      </c>
      <c r="K60" s="63">
        <f>Sheet2!AL7</f>
        <v>0</v>
      </c>
      <c r="L60" s="64">
        <f>Sheet2!AL8</f>
        <v>0</v>
      </c>
    </row>
    <row r="61" spans="1:12" ht="22.5" customHeight="1" x14ac:dyDescent="0.35">
      <c r="A61" s="86" t="s">
        <v>395</v>
      </c>
      <c r="B61" s="126">
        <v>2</v>
      </c>
      <c r="D61" s="424"/>
      <c r="E61" s="424"/>
      <c r="F61" s="425"/>
      <c r="G61" s="61">
        <f>Sheet2!AM3</f>
        <v>0</v>
      </c>
      <c r="H61" s="62">
        <f>Sheet2!AM4</f>
        <v>0</v>
      </c>
      <c r="I61" s="62">
        <f>Sheet2!AM5</f>
        <v>0</v>
      </c>
      <c r="J61" s="62">
        <f>Sheet2!AM6</f>
        <v>0</v>
      </c>
      <c r="K61" s="63">
        <f>Sheet2!AM7</f>
        <v>0</v>
      </c>
      <c r="L61" s="64">
        <f>Sheet2!AM8</f>
        <v>0</v>
      </c>
    </row>
    <row r="62" spans="1:12" ht="22.5" customHeight="1" x14ac:dyDescent="0.35">
      <c r="A62" s="86" t="s">
        <v>27</v>
      </c>
      <c r="B62" s="126">
        <v>1</v>
      </c>
      <c r="D62" s="424"/>
      <c r="E62" s="424"/>
      <c r="F62" s="425"/>
      <c r="G62" s="61">
        <f>Sheet2!AN3</f>
        <v>0</v>
      </c>
      <c r="H62" s="62">
        <f>Sheet2!AN4</f>
        <v>0</v>
      </c>
      <c r="I62" s="62">
        <f>Sheet2!AN5</f>
        <v>0</v>
      </c>
      <c r="J62" s="62">
        <f>Sheet2!AN6</f>
        <v>0</v>
      </c>
      <c r="K62" s="63">
        <f>Sheet2!AN7</f>
        <v>0</v>
      </c>
      <c r="L62" s="64">
        <f>Sheet2!AN8</f>
        <v>0</v>
      </c>
    </row>
    <row r="63" spans="1:12" ht="22.5" customHeight="1" x14ac:dyDescent="0.35">
      <c r="A63" s="86" t="s">
        <v>28</v>
      </c>
      <c r="B63" s="126">
        <v>1</v>
      </c>
      <c r="D63" s="424"/>
      <c r="E63" s="424"/>
      <c r="F63" s="425"/>
      <c r="G63" s="61">
        <f>Sheet2!AO3</f>
        <v>0</v>
      </c>
      <c r="H63" s="62">
        <f>Sheet2!AO4</f>
        <v>0</v>
      </c>
      <c r="I63" s="62">
        <f>Sheet2!AO5</f>
        <v>0</v>
      </c>
      <c r="J63" s="62">
        <f>Sheet2!AO6</f>
        <v>0</v>
      </c>
      <c r="K63" s="63">
        <f>Sheet2!AO7</f>
        <v>0</v>
      </c>
      <c r="L63" s="64">
        <f>Sheet2!AO8</f>
        <v>0</v>
      </c>
    </row>
    <row r="64" spans="1:12" ht="22.5" customHeight="1" x14ac:dyDescent="0.35">
      <c r="A64" s="86"/>
      <c r="B64" s="126">
        <v>1</v>
      </c>
      <c r="D64" s="424"/>
      <c r="E64" s="424"/>
      <c r="F64" s="425"/>
      <c r="G64" s="61">
        <f>Sheet2!AP3</f>
        <v>0</v>
      </c>
      <c r="H64" s="62">
        <f>Sheet2!AP4</f>
        <v>0</v>
      </c>
      <c r="I64" s="62">
        <f>Sheet2!AP5</f>
        <v>0</v>
      </c>
      <c r="J64" s="62">
        <f>Sheet2!AP6</f>
        <v>0</v>
      </c>
      <c r="K64" s="63">
        <f>Sheet2!AP7</f>
        <v>0</v>
      </c>
      <c r="L64" s="64">
        <f>Sheet2!AP8</f>
        <v>0</v>
      </c>
    </row>
    <row r="65" spans="1:12" ht="22.5" customHeight="1" x14ac:dyDescent="0.35">
      <c r="A65" s="87"/>
      <c r="B65" s="127">
        <v>1</v>
      </c>
      <c r="C65" s="88"/>
      <c r="D65" s="426"/>
      <c r="E65" s="426"/>
      <c r="F65" s="427"/>
      <c r="G65" s="67">
        <f>Sheet2!AQ3</f>
        <v>0</v>
      </c>
      <c r="H65" s="68">
        <f>Sheet2!AQ4</f>
        <v>0</v>
      </c>
      <c r="I65" s="68">
        <f>Sheet2!AQ5</f>
        <v>0</v>
      </c>
      <c r="J65" s="68">
        <f>Sheet2!AQ6</f>
        <v>0</v>
      </c>
      <c r="K65" s="69">
        <f>Sheet2!AQ7</f>
        <v>0</v>
      </c>
      <c r="L65" s="70">
        <f>Sheet2!AQ8</f>
        <v>0</v>
      </c>
    </row>
    <row r="67" spans="1:12" x14ac:dyDescent="0.35">
      <c r="A67" s="447" t="s">
        <v>148</v>
      </c>
      <c r="B67" s="448"/>
      <c r="C67" s="448"/>
      <c r="D67" s="181"/>
      <c r="E67" s="181"/>
      <c r="F67" s="182"/>
      <c r="G67" s="80"/>
      <c r="H67" s="81"/>
      <c r="I67" s="81"/>
      <c r="J67" s="82"/>
      <c r="K67" s="81"/>
      <c r="L67" s="83"/>
    </row>
    <row r="68" spans="1:12" ht="22.5" customHeight="1" x14ac:dyDescent="0.35">
      <c r="A68" s="442"/>
      <c r="B68" s="428"/>
      <c r="C68" s="428"/>
      <c r="D68" s="428"/>
      <c r="E68" s="428"/>
      <c r="F68" s="429"/>
      <c r="G68" s="104"/>
      <c r="H68" s="105"/>
      <c r="I68" s="105"/>
      <c r="J68" s="105"/>
      <c r="K68" s="106"/>
      <c r="L68" s="107"/>
    </row>
    <row r="69" spans="1:12" ht="22.5" customHeight="1" x14ac:dyDescent="0.35">
      <c r="A69" s="443"/>
      <c r="B69" s="424"/>
      <c r="C69" s="424"/>
      <c r="D69" s="424"/>
      <c r="E69" s="424"/>
      <c r="F69" s="425"/>
      <c r="G69" s="108"/>
      <c r="H69" s="109"/>
      <c r="I69" s="109"/>
      <c r="J69" s="109"/>
      <c r="K69" s="110"/>
      <c r="L69" s="111"/>
    </row>
    <row r="70" spans="1:12" ht="22.5" customHeight="1" x14ac:dyDescent="0.35">
      <c r="A70" s="444" t="s">
        <v>483</v>
      </c>
      <c r="B70" s="426"/>
      <c r="C70" s="426"/>
      <c r="D70" s="426"/>
      <c r="E70" s="426"/>
      <c r="F70" s="427"/>
      <c r="G70" s="112"/>
      <c r="H70" s="113"/>
      <c r="I70" s="113"/>
      <c r="J70" s="113"/>
      <c r="K70" s="114"/>
      <c r="L70" s="115"/>
    </row>
  </sheetData>
  <sheetProtection sheet="1" objects="1" scenarios="1"/>
  <mergeCells count="49">
    <mergeCell ref="A3:B3"/>
    <mergeCell ref="A57:C57"/>
    <mergeCell ref="A67:C67"/>
    <mergeCell ref="A19:C19"/>
    <mergeCell ref="A27:C27"/>
    <mergeCell ref="A36:C36"/>
    <mergeCell ref="A45:C45"/>
    <mergeCell ref="A52:C52"/>
    <mergeCell ref="H12:L16"/>
    <mergeCell ref="A1:L1"/>
    <mergeCell ref="A68:F68"/>
    <mergeCell ref="A69:F69"/>
    <mergeCell ref="A70:F70"/>
    <mergeCell ref="D37:F37"/>
    <mergeCell ref="D20:F20"/>
    <mergeCell ref="D21:F21"/>
    <mergeCell ref="D22:F22"/>
    <mergeCell ref="D23:F23"/>
    <mergeCell ref="D24:F24"/>
    <mergeCell ref="D25:F25"/>
    <mergeCell ref="D28:F28"/>
    <mergeCell ref="D29:F29"/>
    <mergeCell ref="D30:F30"/>
    <mergeCell ref="D31:F31"/>
    <mergeCell ref="D32:F32"/>
    <mergeCell ref="D33:F33"/>
    <mergeCell ref="D34:F34"/>
    <mergeCell ref="D55:F55"/>
    <mergeCell ref="D38:F38"/>
    <mergeCell ref="D39:F39"/>
    <mergeCell ref="D41:F41"/>
    <mergeCell ref="D42:F42"/>
    <mergeCell ref="D43:F43"/>
    <mergeCell ref="D46:F46"/>
    <mergeCell ref="D47:F47"/>
    <mergeCell ref="D49:F49"/>
    <mergeCell ref="D50:F50"/>
    <mergeCell ref="D53:F53"/>
    <mergeCell ref="D54:F54"/>
    <mergeCell ref="D40:F40"/>
    <mergeCell ref="D48:F48"/>
    <mergeCell ref="D65:F65"/>
    <mergeCell ref="D58:F58"/>
    <mergeCell ref="D60:F60"/>
    <mergeCell ref="D61:F61"/>
    <mergeCell ref="D62:F62"/>
    <mergeCell ref="D63:F63"/>
    <mergeCell ref="D64:F64"/>
    <mergeCell ref="D59:F59"/>
  </mergeCells>
  <conditionalFormatting sqref="H20:L25 G20:G26 H28:L34 G28:G35 H37:L43 G37:G44 H46:L50 G46:G51 H53:L55 G53:G56 G58:L65 G68:L70">
    <cfRule type="cellIs" dxfId="18" priority="4" operator="equal">
      <formula>0</formula>
    </cfRule>
  </conditionalFormatting>
  <conditionalFormatting sqref="D4:G11">
    <cfRule type="containsErrors" dxfId="17" priority="1">
      <formula>ISERROR(D4)</formula>
    </cfRule>
  </conditionalFormatting>
  <dataValidations count="2">
    <dataValidation type="whole" operator="greaterThan" allowBlank="1" showInputMessage="1" showErrorMessage="1" sqref="B8" xr:uid="{00000000-0002-0000-0000-000000000000}">
      <formula1>0</formula1>
    </dataValidation>
    <dataValidation type="whole" operator="greaterThan" allowBlank="1" showInputMessage="1" showErrorMessage="1" errorTitle="Incorrect # Up" error="Enter any whole number greater than zero." sqref="B7" xr:uid="{00000000-0002-0000-0000-000001000000}">
      <formula1>0</formula1>
    </dataValidation>
  </dataValidations>
  <printOptions horizontalCentered="1" verticalCentered="1"/>
  <pageMargins left="0.25" right="0.25" top="0.25" bottom="0.25" header="0" footer="0"/>
  <pageSetup scale="54" orientation="portrait" r:id="rId1"/>
  <headerFooter>
    <oddFooter>&amp;L&amp;D  &amp;T&amp;C&amp;Z&amp;F</oddFooter>
  </headerFooter>
  <drawing r:id="rId2"/>
  <legacyDrawing r:id="rId3"/>
  <controls>
    <mc:AlternateContent xmlns:mc="http://schemas.openxmlformats.org/markup-compatibility/2006">
      <mc:Choice Requires="x14">
        <control shapeId="1142" r:id="rId4" name="CommandButton8">
          <controlPr defaultSize="0" autoLine="0" r:id="rId5">
            <anchor moveWithCells="1">
              <from>
                <xdr:col>0</xdr:col>
                <xdr:colOff>0</xdr:colOff>
                <xdr:row>1</xdr:row>
                <xdr:rowOff>19050</xdr:rowOff>
              </from>
              <to>
                <xdr:col>0</xdr:col>
                <xdr:colOff>1270000</xdr:colOff>
                <xdr:row>2</xdr:row>
                <xdr:rowOff>6350</xdr:rowOff>
              </to>
            </anchor>
          </controlPr>
        </control>
      </mc:Choice>
      <mc:Fallback>
        <control shapeId="1142" r:id="rId4" name="CommandButton8"/>
      </mc:Fallback>
    </mc:AlternateContent>
    <mc:AlternateContent xmlns:mc="http://schemas.openxmlformats.org/markup-compatibility/2006">
      <mc:Choice Requires="x14">
        <control shapeId="1141" r:id="rId6" name="CommandButton7">
          <controlPr defaultSize="0" autoLine="0" r:id="rId7">
            <anchor moveWithCells="1">
              <from>
                <xdr:col>7</xdr:col>
                <xdr:colOff>622300</xdr:colOff>
                <xdr:row>1</xdr:row>
                <xdr:rowOff>31750</xdr:rowOff>
              </from>
              <to>
                <xdr:col>8</xdr:col>
                <xdr:colOff>584200</xdr:colOff>
                <xdr:row>2</xdr:row>
                <xdr:rowOff>0</xdr:rowOff>
              </to>
            </anchor>
          </controlPr>
        </control>
      </mc:Choice>
      <mc:Fallback>
        <control shapeId="1141" r:id="rId6" name="CommandButton7"/>
      </mc:Fallback>
    </mc:AlternateContent>
    <mc:AlternateContent xmlns:mc="http://schemas.openxmlformats.org/markup-compatibility/2006">
      <mc:Choice Requires="x14">
        <control shapeId="1137" r:id="rId8" name="CommandButton4">
          <controlPr defaultSize="0" autoLine="0" r:id="rId9">
            <anchor moveWithCells="1">
              <from>
                <xdr:col>0</xdr:col>
                <xdr:colOff>946150</xdr:colOff>
                <xdr:row>23</xdr:row>
                <xdr:rowOff>38100</xdr:rowOff>
              </from>
              <to>
                <xdr:col>0</xdr:col>
                <xdr:colOff>1193800</xdr:colOff>
                <xdr:row>23</xdr:row>
                <xdr:rowOff>266700</xdr:rowOff>
              </to>
            </anchor>
          </controlPr>
        </control>
      </mc:Choice>
      <mc:Fallback>
        <control shapeId="1137" r:id="rId8" name="CommandButton4"/>
      </mc:Fallback>
    </mc:AlternateContent>
    <mc:AlternateContent xmlns:mc="http://schemas.openxmlformats.org/markup-compatibility/2006">
      <mc:Choice Requires="x14">
        <control shapeId="1136" r:id="rId10" name="CommandButton3">
          <controlPr defaultSize="0" autoLine="0" r:id="rId11">
            <anchor moveWithCells="1">
              <from>
                <xdr:col>5</xdr:col>
                <xdr:colOff>508000</xdr:colOff>
                <xdr:row>1</xdr:row>
                <xdr:rowOff>31750</xdr:rowOff>
              </from>
              <to>
                <xdr:col>6</xdr:col>
                <xdr:colOff>393700</xdr:colOff>
                <xdr:row>1</xdr:row>
                <xdr:rowOff>279400</xdr:rowOff>
              </to>
            </anchor>
          </controlPr>
        </control>
      </mc:Choice>
      <mc:Fallback>
        <control shapeId="1136" r:id="rId10" name="CommandButton3"/>
      </mc:Fallback>
    </mc:AlternateContent>
    <mc:AlternateContent xmlns:mc="http://schemas.openxmlformats.org/markup-compatibility/2006">
      <mc:Choice Requires="x14">
        <control shapeId="1135" r:id="rId12" name="CommandButton2">
          <controlPr defaultSize="0" autoLine="0" r:id="rId13">
            <anchor moveWithCells="1">
              <from>
                <xdr:col>6</xdr:col>
                <xdr:colOff>565150</xdr:colOff>
                <xdr:row>1</xdr:row>
                <xdr:rowOff>31750</xdr:rowOff>
              </from>
              <to>
                <xdr:col>7</xdr:col>
                <xdr:colOff>431800</xdr:colOff>
                <xdr:row>1</xdr:row>
                <xdr:rowOff>279400</xdr:rowOff>
              </to>
            </anchor>
          </controlPr>
        </control>
      </mc:Choice>
      <mc:Fallback>
        <control shapeId="1135" r:id="rId12" name="CommandButton2"/>
      </mc:Fallback>
    </mc:AlternateContent>
    <mc:AlternateContent xmlns:mc="http://schemas.openxmlformats.org/markup-compatibility/2006">
      <mc:Choice Requires="x14">
        <control shapeId="1100" r:id="rId14" name="CommandButton1">
          <controlPr defaultSize="0" print="0" autoLine="0" r:id="rId15">
            <anchor moveWithCells="1">
              <from>
                <xdr:col>1</xdr:col>
                <xdr:colOff>361950</xdr:colOff>
                <xdr:row>15</xdr:row>
                <xdr:rowOff>107950</xdr:rowOff>
              </from>
              <to>
                <xdr:col>1</xdr:col>
                <xdr:colOff>1320800</xdr:colOff>
                <xdr:row>16</xdr:row>
                <xdr:rowOff>107950</xdr:rowOff>
              </to>
            </anchor>
          </controlPr>
        </control>
      </mc:Choice>
      <mc:Fallback>
        <control shapeId="1100" r:id="rId14" name="CommandButton1"/>
      </mc:Fallback>
    </mc:AlternateContent>
    <mc:AlternateContent xmlns:mc="http://schemas.openxmlformats.org/markup-compatibility/2006">
      <mc:Choice Requires="x14">
        <control shapeId="1101" r:id="rId16" name="CheckBox1">
          <controlPr defaultSize="0" print="0" autoLine="0" r:id="rId17">
            <anchor moveWithCells="1">
              <from>
                <xdr:col>3</xdr:col>
                <xdr:colOff>12700</xdr:colOff>
                <xdr:row>3</xdr:row>
                <xdr:rowOff>12700</xdr:rowOff>
              </from>
              <to>
                <xdr:col>3</xdr:col>
                <xdr:colOff>146050</xdr:colOff>
                <xdr:row>3</xdr:row>
                <xdr:rowOff>146050</xdr:rowOff>
              </to>
            </anchor>
          </controlPr>
        </control>
      </mc:Choice>
      <mc:Fallback>
        <control shapeId="1101" r:id="rId16" name="CheckBox1"/>
      </mc:Fallback>
    </mc:AlternateContent>
    <mc:AlternateContent xmlns:mc="http://schemas.openxmlformats.org/markup-compatibility/2006">
      <mc:Choice Requires="x14">
        <control shapeId="1102" r:id="rId18" name="CheckBox2">
          <controlPr defaultSize="0" print="0" autoLine="0" r:id="rId19">
            <anchor moveWithCells="1">
              <from>
                <xdr:col>4</xdr:col>
                <xdr:colOff>12700</xdr:colOff>
                <xdr:row>3</xdr:row>
                <xdr:rowOff>19050</xdr:rowOff>
              </from>
              <to>
                <xdr:col>4</xdr:col>
                <xdr:colOff>139700</xdr:colOff>
                <xdr:row>3</xdr:row>
                <xdr:rowOff>146050</xdr:rowOff>
              </to>
            </anchor>
          </controlPr>
        </control>
      </mc:Choice>
      <mc:Fallback>
        <control shapeId="1102" r:id="rId18" name="CheckBox2"/>
      </mc:Fallback>
    </mc:AlternateContent>
    <mc:AlternateContent xmlns:mc="http://schemas.openxmlformats.org/markup-compatibility/2006">
      <mc:Choice Requires="x14">
        <control shapeId="1103" r:id="rId20" name="CheckBox3">
          <controlPr defaultSize="0" print="0" autoLine="0" r:id="rId19">
            <anchor moveWithCells="1">
              <from>
                <xdr:col>5</xdr:col>
                <xdr:colOff>12700</xdr:colOff>
                <xdr:row>3</xdr:row>
                <xdr:rowOff>19050</xdr:rowOff>
              </from>
              <to>
                <xdr:col>5</xdr:col>
                <xdr:colOff>139700</xdr:colOff>
                <xdr:row>3</xdr:row>
                <xdr:rowOff>146050</xdr:rowOff>
              </to>
            </anchor>
          </controlPr>
        </control>
      </mc:Choice>
      <mc:Fallback>
        <control shapeId="1103" r:id="rId20" name="CheckBox3"/>
      </mc:Fallback>
    </mc:AlternateContent>
    <mc:AlternateContent xmlns:mc="http://schemas.openxmlformats.org/markup-compatibility/2006">
      <mc:Choice Requires="x14">
        <control shapeId="1104" r:id="rId21" name="CheckBox4">
          <controlPr defaultSize="0" print="0" autoLine="0" r:id="rId19">
            <anchor moveWithCells="1">
              <from>
                <xdr:col>6</xdr:col>
                <xdr:colOff>12700</xdr:colOff>
                <xdr:row>3</xdr:row>
                <xdr:rowOff>19050</xdr:rowOff>
              </from>
              <to>
                <xdr:col>6</xdr:col>
                <xdr:colOff>139700</xdr:colOff>
                <xdr:row>3</xdr:row>
                <xdr:rowOff>146050</xdr:rowOff>
              </to>
            </anchor>
          </controlPr>
        </control>
      </mc:Choice>
      <mc:Fallback>
        <control shapeId="1104" r:id="rId21" name="CheckBox4"/>
      </mc:Fallback>
    </mc:AlternateContent>
    <mc:AlternateContent xmlns:mc="http://schemas.openxmlformats.org/markup-compatibility/2006">
      <mc:Choice Requires="x14">
        <control shapeId="1105" r:id="rId22" name="CheckBox5">
          <controlPr defaultSize="0" print="0" autoLine="0" r:id="rId17">
            <anchor moveWithCells="1">
              <from>
                <xdr:col>3</xdr:col>
                <xdr:colOff>12700</xdr:colOff>
                <xdr:row>4</xdr:row>
                <xdr:rowOff>19050</xdr:rowOff>
              </from>
              <to>
                <xdr:col>3</xdr:col>
                <xdr:colOff>146050</xdr:colOff>
                <xdr:row>4</xdr:row>
                <xdr:rowOff>152400</xdr:rowOff>
              </to>
            </anchor>
          </controlPr>
        </control>
      </mc:Choice>
      <mc:Fallback>
        <control shapeId="1105" r:id="rId22" name="CheckBox5"/>
      </mc:Fallback>
    </mc:AlternateContent>
    <mc:AlternateContent xmlns:mc="http://schemas.openxmlformats.org/markup-compatibility/2006">
      <mc:Choice Requires="x14">
        <control shapeId="1106" r:id="rId23" name="CheckBox6">
          <controlPr defaultSize="0" print="0" autoLine="0" r:id="rId17">
            <anchor moveWithCells="1">
              <from>
                <xdr:col>4</xdr:col>
                <xdr:colOff>12700</xdr:colOff>
                <xdr:row>4</xdr:row>
                <xdr:rowOff>12700</xdr:rowOff>
              </from>
              <to>
                <xdr:col>4</xdr:col>
                <xdr:colOff>146050</xdr:colOff>
                <xdr:row>4</xdr:row>
                <xdr:rowOff>146050</xdr:rowOff>
              </to>
            </anchor>
          </controlPr>
        </control>
      </mc:Choice>
      <mc:Fallback>
        <control shapeId="1106" r:id="rId23" name="CheckBox6"/>
      </mc:Fallback>
    </mc:AlternateContent>
    <mc:AlternateContent xmlns:mc="http://schemas.openxmlformats.org/markup-compatibility/2006">
      <mc:Choice Requires="x14">
        <control shapeId="1107" r:id="rId24" name="CheckBox7">
          <controlPr defaultSize="0" print="0" autoLine="0" r:id="rId19">
            <anchor moveWithCells="1">
              <from>
                <xdr:col>5</xdr:col>
                <xdr:colOff>12700</xdr:colOff>
                <xdr:row>4</xdr:row>
                <xdr:rowOff>12700</xdr:rowOff>
              </from>
              <to>
                <xdr:col>5</xdr:col>
                <xdr:colOff>139700</xdr:colOff>
                <xdr:row>4</xdr:row>
                <xdr:rowOff>139700</xdr:rowOff>
              </to>
            </anchor>
          </controlPr>
        </control>
      </mc:Choice>
      <mc:Fallback>
        <control shapeId="1107" r:id="rId24" name="CheckBox7"/>
      </mc:Fallback>
    </mc:AlternateContent>
    <mc:AlternateContent xmlns:mc="http://schemas.openxmlformats.org/markup-compatibility/2006">
      <mc:Choice Requires="x14">
        <control shapeId="1108" r:id="rId25" name="CheckBox8">
          <controlPr defaultSize="0" print="0" autoLine="0" r:id="rId19">
            <anchor moveWithCells="1">
              <from>
                <xdr:col>6</xdr:col>
                <xdr:colOff>12700</xdr:colOff>
                <xdr:row>4</xdr:row>
                <xdr:rowOff>12700</xdr:rowOff>
              </from>
              <to>
                <xdr:col>6</xdr:col>
                <xdr:colOff>139700</xdr:colOff>
                <xdr:row>4</xdr:row>
                <xdr:rowOff>139700</xdr:rowOff>
              </to>
            </anchor>
          </controlPr>
        </control>
      </mc:Choice>
      <mc:Fallback>
        <control shapeId="1108" r:id="rId25" name="CheckBox8"/>
      </mc:Fallback>
    </mc:AlternateContent>
    <mc:AlternateContent xmlns:mc="http://schemas.openxmlformats.org/markup-compatibility/2006">
      <mc:Choice Requires="x14">
        <control shapeId="1109" r:id="rId26" name="CheckBox9">
          <controlPr defaultSize="0" print="0" autoLine="0" r:id="rId19">
            <anchor moveWithCells="1">
              <from>
                <xdr:col>3</xdr:col>
                <xdr:colOff>12700</xdr:colOff>
                <xdr:row>5</xdr:row>
                <xdr:rowOff>12700</xdr:rowOff>
              </from>
              <to>
                <xdr:col>3</xdr:col>
                <xdr:colOff>139700</xdr:colOff>
                <xdr:row>5</xdr:row>
                <xdr:rowOff>139700</xdr:rowOff>
              </to>
            </anchor>
          </controlPr>
        </control>
      </mc:Choice>
      <mc:Fallback>
        <control shapeId="1109" r:id="rId26" name="CheckBox9"/>
      </mc:Fallback>
    </mc:AlternateContent>
    <mc:AlternateContent xmlns:mc="http://schemas.openxmlformats.org/markup-compatibility/2006">
      <mc:Choice Requires="x14">
        <control shapeId="1110" r:id="rId27" name="CheckBox10">
          <controlPr defaultSize="0" print="0" autoLine="0" r:id="rId19">
            <anchor moveWithCells="1">
              <from>
                <xdr:col>4</xdr:col>
                <xdr:colOff>12700</xdr:colOff>
                <xdr:row>5</xdr:row>
                <xdr:rowOff>12700</xdr:rowOff>
              </from>
              <to>
                <xdr:col>4</xdr:col>
                <xdr:colOff>139700</xdr:colOff>
                <xdr:row>5</xdr:row>
                <xdr:rowOff>139700</xdr:rowOff>
              </to>
            </anchor>
          </controlPr>
        </control>
      </mc:Choice>
      <mc:Fallback>
        <control shapeId="1110" r:id="rId27" name="CheckBox10"/>
      </mc:Fallback>
    </mc:AlternateContent>
    <mc:AlternateContent xmlns:mc="http://schemas.openxmlformats.org/markup-compatibility/2006">
      <mc:Choice Requires="x14">
        <control shapeId="1111" r:id="rId28" name="CheckBox11">
          <controlPr defaultSize="0" print="0" autoLine="0" r:id="rId19">
            <anchor moveWithCells="1">
              <from>
                <xdr:col>5</xdr:col>
                <xdr:colOff>12700</xdr:colOff>
                <xdr:row>5</xdr:row>
                <xdr:rowOff>12700</xdr:rowOff>
              </from>
              <to>
                <xdr:col>5</xdr:col>
                <xdr:colOff>139700</xdr:colOff>
                <xdr:row>5</xdr:row>
                <xdr:rowOff>139700</xdr:rowOff>
              </to>
            </anchor>
          </controlPr>
        </control>
      </mc:Choice>
      <mc:Fallback>
        <control shapeId="1111" r:id="rId28" name="CheckBox11"/>
      </mc:Fallback>
    </mc:AlternateContent>
    <mc:AlternateContent xmlns:mc="http://schemas.openxmlformats.org/markup-compatibility/2006">
      <mc:Choice Requires="x14">
        <control shapeId="1112" r:id="rId29" name="CheckBox12">
          <controlPr defaultSize="0" print="0" autoLine="0" r:id="rId19">
            <anchor moveWithCells="1">
              <from>
                <xdr:col>6</xdr:col>
                <xdr:colOff>12700</xdr:colOff>
                <xdr:row>5</xdr:row>
                <xdr:rowOff>12700</xdr:rowOff>
              </from>
              <to>
                <xdr:col>6</xdr:col>
                <xdr:colOff>139700</xdr:colOff>
                <xdr:row>5</xdr:row>
                <xdr:rowOff>139700</xdr:rowOff>
              </to>
            </anchor>
          </controlPr>
        </control>
      </mc:Choice>
      <mc:Fallback>
        <control shapeId="1112" r:id="rId29" name="CheckBox12"/>
      </mc:Fallback>
    </mc:AlternateContent>
    <mc:AlternateContent xmlns:mc="http://schemas.openxmlformats.org/markup-compatibility/2006">
      <mc:Choice Requires="x14">
        <control shapeId="1113" r:id="rId30" name="CheckBox13">
          <controlPr defaultSize="0" print="0" autoLine="0" r:id="rId17">
            <anchor moveWithCells="1">
              <from>
                <xdr:col>3</xdr:col>
                <xdr:colOff>12700</xdr:colOff>
                <xdr:row>6</xdr:row>
                <xdr:rowOff>19050</xdr:rowOff>
              </from>
              <to>
                <xdr:col>3</xdr:col>
                <xdr:colOff>146050</xdr:colOff>
                <xdr:row>6</xdr:row>
                <xdr:rowOff>152400</xdr:rowOff>
              </to>
            </anchor>
          </controlPr>
        </control>
      </mc:Choice>
      <mc:Fallback>
        <control shapeId="1113" r:id="rId30" name="CheckBox13"/>
      </mc:Fallback>
    </mc:AlternateContent>
    <mc:AlternateContent xmlns:mc="http://schemas.openxmlformats.org/markup-compatibility/2006">
      <mc:Choice Requires="x14">
        <control shapeId="1114" r:id="rId31" name="CheckBox14">
          <controlPr defaultSize="0" print="0" autoLine="0" r:id="rId17">
            <anchor moveWithCells="1">
              <from>
                <xdr:col>4</xdr:col>
                <xdr:colOff>12700</xdr:colOff>
                <xdr:row>6</xdr:row>
                <xdr:rowOff>19050</xdr:rowOff>
              </from>
              <to>
                <xdr:col>4</xdr:col>
                <xdr:colOff>146050</xdr:colOff>
                <xdr:row>6</xdr:row>
                <xdr:rowOff>152400</xdr:rowOff>
              </to>
            </anchor>
          </controlPr>
        </control>
      </mc:Choice>
      <mc:Fallback>
        <control shapeId="1114" r:id="rId31" name="CheckBox14"/>
      </mc:Fallback>
    </mc:AlternateContent>
    <mc:AlternateContent xmlns:mc="http://schemas.openxmlformats.org/markup-compatibility/2006">
      <mc:Choice Requires="x14">
        <control shapeId="1115" r:id="rId32" name="CheckBox15">
          <controlPr defaultSize="0" print="0" autoLine="0" r:id="rId17">
            <anchor moveWithCells="1">
              <from>
                <xdr:col>5</xdr:col>
                <xdr:colOff>12700</xdr:colOff>
                <xdr:row>6</xdr:row>
                <xdr:rowOff>12700</xdr:rowOff>
              </from>
              <to>
                <xdr:col>5</xdr:col>
                <xdr:colOff>146050</xdr:colOff>
                <xdr:row>6</xdr:row>
                <xdr:rowOff>146050</xdr:rowOff>
              </to>
            </anchor>
          </controlPr>
        </control>
      </mc:Choice>
      <mc:Fallback>
        <control shapeId="1115" r:id="rId32" name="CheckBox15"/>
      </mc:Fallback>
    </mc:AlternateContent>
    <mc:AlternateContent xmlns:mc="http://schemas.openxmlformats.org/markup-compatibility/2006">
      <mc:Choice Requires="x14">
        <control shapeId="1116" r:id="rId33" name="CheckBox16">
          <controlPr defaultSize="0" print="0" autoLine="0" r:id="rId17">
            <anchor moveWithCells="1">
              <from>
                <xdr:col>6</xdr:col>
                <xdr:colOff>12700</xdr:colOff>
                <xdr:row>6</xdr:row>
                <xdr:rowOff>12700</xdr:rowOff>
              </from>
              <to>
                <xdr:col>6</xdr:col>
                <xdr:colOff>146050</xdr:colOff>
                <xdr:row>6</xdr:row>
                <xdr:rowOff>146050</xdr:rowOff>
              </to>
            </anchor>
          </controlPr>
        </control>
      </mc:Choice>
      <mc:Fallback>
        <control shapeId="1116" r:id="rId33" name="CheckBox16"/>
      </mc:Fallback>
    </mc:AlternateContent>
    <mc:AlternateContent xmlns:mc="http://schemas.openxmlformats.org/markup-compatibility/2006">
      <mc:Choice Requires="x14">
        <control shapeId="1117" r:id="rId34" name="CheckBox17">
          <controlPr defaultSize="0" print="0" autoLine="0" r:id="rId17">
            <anchor moveWithCells="1">
              <from>
                <xdr:col>3</xdr:col>
                <xdr:colOff>12700</xdr:colOff>
                <xdr:row>7</xdr:row>
                <xdr:rowOff>12700</xdr:rowOff>
              </from>
              <to>
                <xdr:col>3</xdr:col>
                <xdr:colOff>146050</xdr:colOff>
                <xdr:row>7</xdr:row>
                <xdr:rowOff>146050</xdr:rowOff>
              </to>
            </anchor>
          </controlPr>
        </control>
      </mc:Choice>
      <mc:Fallback>
        <control shapeId="1117" r:id="rId34" name="CheckBox17"/>
      </mc:Fallback>
    </mc:AlternateContent>
    <mc:AlternateContent xmlns:mc="http://schemas.openxmlformats.org/markup-compatibility/2006">
      <mc:Choice Requires="x14">
        <control shapeId="1118" r:id="rId35" name="CheckBox18">
          <controlPr defaultSize="0" print="0" autoLine="0" r:id="rId17">
            <anchor moveWithCells="1">
              <from>
                <xdr:col>4</xdr:col>
                <xdr:colOff>12700</xdr:colOff>
                <xdr:row>7</xdr:row>
                <xdr:rowOff>12700</xdr:rowOff>
              </from>
              <to>
                <xdr:col>4</xdr:col>
                <xdr:colOff>146050</xdr:colOff>
                <xdr:row>7</xdr:row>
                <xdr:rowOff>146050</xdr:rowOff>
              </to>
            </anchor>
          </controlPr>
        </control>
      </mc:Choice>
      <mc:Fallback>
        <control shapeId="1118" r:id="rId35" name="CheckBox18"/>
      </mc:Fallback>
    </mc:AlternateContent>
    <mc:AlternateContent xmlns:mc="http://schemas.openxmlformats.org/markup-compatibility/2006">
      <mc:Choice Requires="x14">
        <control shapeId="1119" r:id="rId36" name="CheckBox19">
          <controlPr defaultSize="0" print="0" autoLine="0" r:id="rId17">
            <anchor moveWithCells="1">
              <from>
                <xdr:col>5</xdr:col>
                <xdr:colOff>12700</xdr:colOff>
                <xdr:row>7</xdr:row>
                <xdr:rowOff>12700</xdr:rowOff>
              </from>
              <to>
                <xdr:col>5</xdr:col>
                <xdr:colOff>146050</xdr:colOff>
                <xdr:row>7</xdr:row>
                <xdr:rowOff>146050</xdr:rowOff>
              </to>
            </anchor>
          </controlPr>
        </control>
      </mc:Choice>
      <mc:Fallback>
        <control shapeId="1119" r:id="rId36" name="CheckBox19"/>
      </mc:Fallback>
    </mc:AlternateContent>
    <mc:AlternateContent xmlns:mc="http://schemas.openxmlformats.org/markup-compatibility/2006">
      <mc:Choice Requires="x14">
        <control shapeId="1120" r:id="rId37" name="CheckBox20">
          <controlPr defaultSize="0" print="0" autoLine="0" r:id="rId17">
            <anchor moveWithCells="1">
              <from>
                <xdr:col>6</xdr:col>
                <xdr:colOff>12700</xdr:colOff>
                <xdr:row>7</xdr:row>
                <xdr:rowOff>12700</xdr:rowOff>
              </from>
              <to>
                <xdr:col>6</xdr:col>
                <xdr:colOff>146050</xdr:colOff>
                <xdr:row>7</xdr:row>
                <xdr:rowOff>146050</xdr:rowOff>
              </to>
            </anchor>
          </controlPr>
        </control>
      </mc:Choice>
      <mc:Fallback>
        <control shapeId="1120" r:id="rId37" name="CheckBox20"/>
      </mc:Fallback>
    </mc:AlternateContent>
    <mc:AlternateContent xmlns:mc="http://schemas.openxmlformats.org/markup-compatibility/2006">
      <mc:Choice Requires="x14">
        <control shapeId="1121" r:id="rId38" name="CheckBox21">
          <controlPr defaultSize="0" print="0" autoLine="0" r:id="rId17">
            <anchor moveWithCells="1">
              <from>
                <xdr:col>3</xdr:col>
                <xdr:colOff>12700</xdr:colOff>
                <xdr:row>8</xdr:row>
                <xdr:rowOff>12700</xdr:rowOff>
              </from>
              <to>
                <xdr:col>3</xdr:col>
                <xdr:colOff>146050</xdr:colOff>
                <xdr:row>8</xdr:row>
                <xdr:rowOff>146050</xdr:rowOff>
              </to>
            </anchor>
          </controlPr>
        </control>
      </mc:Choice>
      <mc:Fallback>
        <control shapeId="1121" r:id="rId38" name="CheckBox21"/>
      </mc:Fallback>
    </mc:AlternateContent>
    <mc:AlternateContent xmlns:mc="http://schemas.openxmlformats.org/markup-compatibility/2006">
      <mc:Choice Requires="x14">
        <control shapeId="1122" r:id="rId39" name="CheckBox22">
          <controlPr defaultSize="0" print="0" autoLine="0" r:id="rId17">
            <anchor moveWithCells="1">
              <from>
                <xdr:col>4</xdr:col>
                <xdr:colOff>12700</xdr:colOff>
                <xdr:row>8</xdr:row>
                <xdr:rowOff>12700</xdr:rowOff>
              </from>
              <to>
                <xdr:col>4</xdr:col>
                <xdr:colOff>146050</xdr:colOff>
                <xdr:row>8</xdr:row>
                <xdr:rowOff>146050</xdr:rowOff>
              </to>
            </anchor>
          </controlPr>
        </control>
      </mc:Choice>
      <mc:Fallback>
        <control shapeId="1122" r:id="rId39" name="CheckBox22"/>
      </mc:Fallback>
    </mc:AlternateContent>
    <mc:AlternateContent xmlns:mc="http://schemas.openxmlformats.org/markup-compatibility/2006">
      <mc:Choice Requires="x14">
        <control shapeId="1123" r:id="rId40" name="CheckBox23">
          <controlPr defaultSize="0" print="0" autoLine="0" r:id="rId17">
            <anchor moveWithCells="1">
              <from>
                <xdr:col>5</xdr:col>
                <xdr:colOff>12700</xdr:colOff>
                <xdr:row>8</xdr:row>
                <xdr:rowOff>12700</xdr:rowOff>
              </from>
              <to>
                <xdr:col>5</xdr:col>
                <xdr:colOff>146050</xdr:colOff>
                <xdr:row>8</xdr:row>
                <xdr:rowOff>146050</xdr:rowOff>
              </to>
            </anchor>
          </controlPr>
        </control>
      </mc:Choice>
      <mc:Fallback>
        <control shapeId="1123" r:id="rId40" name="CheckBox23"/>
      </mc:Fallback>
    </mc:AlternateContent>
    <mc:AlternateContent xmlns:mc="http://schemas.openxmlformats.org/markup-compatibility/2006">
      <mc:Choice Requires="x14">
        <control shapeId="1124" r:id="rId41" name="CheckBox24">
          <controlPr defaultSize="0" print="0" autoLine="0" r:id="rId17">
            <anchor moveWithCells="1">
              <from>
                <xdr:col>6</xdr:col>
                <xdr:colOff>12700</xdr:colOff>
                <xdr:row>8</xdr:row>
                <xdr:rowOff>12700</xdr:rowOff>
              </from>
              <to>
                <xdr:col>6</xdr:col>
                <xdr:colOff>146050</xdr:colOff>
                <xdr:row>8</xdr:row>
                <xdr:rowOff>146050</xdr:rowOff>
              </to>
            </anchor>
          </controlPr>
        </control>
      </mc:Choice>
      <mc:Fallback>
        <control shapeId="1124" r:id="rId41" name="CheckBox24"/>
      </mc:Fallback>
    </mc:AlternateContent>
    <mc:AlternateContent xmlns:mc="http://schemas.openxmlformats.org/markup-compatibility/2006">
      <mc:Choice Requires="x14">
        <control shapeId="1125" r:id="rId42" name="CheckBox25">
          <controlPr defaultSize="0" print="0" autoLine="0" r:id="rId17">
            <anchor moveWithCells="1">
              <from>
                <xdr:col>3</xdr:col>
                <xdr:colOff>12700</xdr:colOff>
                <xdr:row>9</xdr:row>
                <xdr:rowOff>12700</xdr:rowOff>
              </from>
              <to>
                <xdr:col>3</xdr:col>
                <xdr:colOff>146050</xdr:colOff>
                <xdr:row>9</xdr:row>
                <xdr:rowOff>146050</xdr:rowOff>
              </to>
            </anchor>
          </controlPr>
        </control>
      </mc:Choice>
      <mc:Fallback>
        <control shapeId="1125" r:id="rId42" name="CheckBox25"/>
      </mc:Fallback>
    </mc:AlternateContent>
    <mc:AlternateContent xmlns:mc="http://schemas.openxmlformats.org/markup-compatibility/2006">
      <mc:Choice Requires="x14">
        <control shapeId="1126" r:id="rId43" name="CheckBox26">
          <controlPr defaultSize="0" print="0" autoLine="0" r:id="rId17">
            <anchor moveWithCells="1">
              <from>
                <xdr:col>4</xdr:col>
                <xdr:colOff>12700</xdr:colOff>
                <xdr:row>9</xdr:row>
                <xdr:rowOff>12700</xdr:rowOff>
              </from>
              <to>
                <xdr:col>4</xdr:col>
                <xdr:colOff>146050</xdr:colOff>
                <xdr:row>9</xdr:row>
                <xdr:rowOff>146050</xdr:rowOff>
              </to>
            </anchor>
          </controlPr>
        </control>
      </mc:Choice>
      <mc:Fallback>
        <control shapeId="1126" r:id="rId43" name="CheckBox26"/>
      </mc:Fallback>
    </mc:AlternateContent>
    <mc:AlternateContent xmlns:mc="http://schemas.openxmlformats.org/markup-compatibility/2006">
      <mc:Choice Requires="x14">
        <control shapeId="1127" r:id="rId44" name="CheckBox27">
          <controlPr defaultSize="0" print="0" autoLine="0" r:id="rId17">
            <anchor moveWithCells="1">
              <from>
                <xdr:col>5</xdr:col>
                <xdr:colOff>12700</xdr:colOff>
                <xdr:row>9</xdr:row>
                <xdr:rowOff>12700</xdr:rowOff>
              </from>
              <to>
                <xdr:col>5</xdr:col>
                <xdr:colOff>146050</xdr:colOff>
                <xdr:row>9</xdr:row>
                <xdr:rowOff>146050</xdr:rowOff>
              </to>
            </anchor>
          </controlPr>
        </control>
      </mc:Choice>
      <mc:Fallback>
        <control shapeId="1127" r:id="rId44" name="CheckBox27"/>
      </mc:Fallback>
    </mc:AlternateContent>
    <mc:AlternateContent xmlns:mc="http://schemas.openxmlformats.org/markup-compatibility/2006">
      <mc:Choice Requires="x14">
        <control shapeId="1128" r:id="rId45" name="CheckBox28">
          <controlPr defaultSize="0" print="0" autoLine="0" r:id="rId17">
            <anchor moveWithCells="1">
              <from>
                <xdr:col>6</xdr:col>
                <xdr:colOff>12700</xdr:colOff>
                <xdr:row>9</xdr:row>
                <xdr:rowOff>12700</xdr:rowOff>
              </from>
              <to>
                <xdr:col>6</xdr:col>
                <xdr:colOff>146050</xdr:colOff>
                <xdr:row>9</xdr:row>
                <xdr:rowOff>146050</xdr:rowOff>
              </to>
            </anchor>
          </controlPr>
        </control>
      </mc:Choice>
      <mc:Fallback>
        <control shapeId="1128" r:id="rId45" name="CheckBox28"/>
      </mc:Fallback>
    </mc:AlternateContent>
    <mc:AlternateContent xmlns:mc="http://schemas.openxmlformats.org/markup-compatibility/2006">
      <mc:Choice Requires="x14">
        <control shapeId="1129" r:id="rId46" name="CheckBox29">
          <controlPr defaultSize="0" print="0" autoLine="0" r:id="rId17">
            <anchor moveWithCells="1">
              <from>
                <xdr:col>3</xdr:col>
                <xdr:colOff>12700</xdr:colOff>
                <xdr:row>10</xdr:row>
                <xdr:rowOff>12700</xdr:rowOff>
              </from>
              <to>
                <xdr:col>3</xdr:col>
                <xdr:colOff>146050</xdr:colOff>
                <xdr:row>10</xdr:row>
                <xdr:rowOff>146050</xdr:rowOff>
              </to>
            </anchor>
          </controlPr>
        </control>
      </mc:Choice>
      <mc:Fallback>
        <control shapeId="1129" r:id="rId46" name="CheckBox29"/>
      </mc:Fallback>
    </mc:AlternateContent>
    <mc:AlternateContent xmlns:mc="http://schemas.openxmlformats.org/markup-compatibility/2006">
      <mc:Choice Requires="x14">
        <control shapeId="1130" r:id="rId47" name="CheckBox30">
          <controlPr defaultSize="0" print="0" autoLine="0" r:id="rId17">
            <anchor moveWithCells="1">
              <from>
                <xdr:col>4</xdr:col>
                <xdr:colOff>12700</xdr:colOff>
                <xdr:row>10</xdr:row>
                <xdr:rowOff>12700</xdr:rowOff>
              </from>
              <to>
                <xdr:col>4</xdr:col>
                <xdr:colOff>146050</xdr:colOff>
                <xdr:row>10</xdr:row>
                <xdr:rowOff>146050</xdr:rowOff>
              </to>
            </anchor>
          </controlPr>
        </control>
      </mc:Choice>
      <mc:Fallback>
        <control shapeId="1130" r:id="rId47" name="CheckBox30"/>
      </mc:Fallback>
    </mc:AlternateContent>
    <mc:AlternateContent xmlns:mc="http://schemas.openxmlformats.org/markup-compatibility/2006">
      <mc:Choice Requires="x14">
        <control shapeId="1131" r:id="rId48" name="CheckBox31">
          <controlPr defaultSize="0" print="0" autoLine="0" r:id="rId17">
            <anchor moveWithCells="1">
              <from>
                <xdr:col>5</xdr:col>
                <xdr:colOff>12700</xdr:colOff>
                <xdr:row>10</xdr:row>
                <xdr:rowOff>19050</xdr:rowOff>
              </from>
              <to>
                <xdr:col>5</xdr:col>
                <xdr:colOff>146050</xdr:colOff>
                <xdr:row>10</xdr:row>
                <xdr:rowOff>152400</xdr:rowOff>
              </to>
            </anchor>
          </controlPr>
        </control>
      </mc:Choice>
      <mc:Fallback>
        <control shapeId="1131" r:id="rId48" name="CheckBox31"/>
      </mc:Fallback>
    </mc:AlternateContent>
    <mc:AlternateContent xmlns:mc="http://schemas.openxmlformats.org/markup-compatibility/2006">
      <mc:Choice Requires="x14">
        <control shapeId="1132" r:id="rId49" name="CheckBox32">
          <controlPr defaultSize="0" print="0" autoLine="0" r:id="rId17">
            <anchor moveWithCells="1">
              <from>
                <xdr:col>6</xdr:col>
                <xdr:colOff>12700</xdr:colOff>
                <xdr:row>10</xdr:row>
                <xdr:rowOff>12700</xdr:rowOff>
              </from>
              <to>
                <xdr:col>6</xdr:col>
                <xdr:colOff>146050</xdr:colOff>
                <xdr:row>10</xdr:row>
                <xdr:rowOff>146050</xdr:rowOff>
              </to>
            </anchor>
          </controlPr>
        </control>
      </mc:Choice>
      <mc:Fallback>
        <control shapeId="1132" r:id="rId49" name="CheckBox32"/>
      </mc:Fallback>
    </mc:AlternateContent>
    <mc:AlternateContent xmlns:mc="http://schemas.openxmlformats.org/markup-compatibility/2006">
      <mc:Choice Requires="x14">
        <control shapeId="1138" r:id="rId50" name="CommandButton5">
          <controlPr defaultSize="0" autoLine="0" r:id="rId51">
            <anchor moveWithCells="1">
              <from>
                <xdr:col>4</xdr:col>
                <xdr:colOff>438150</xdr:colOff>
                <xdr:row>1</xdr:row>
                <xdr:rowOff>31750</xdr:rowOff>
              </from>
              <to>
                <xdr:col>5</xdr:col>
                <xdr:colOff>323850</xdr:colOff>
                <xdr:row>1</xdr:row>
                <xdr:rowOff>279400</xdr:rowOff>
              </to>
            </anchor>
          </controlPr>
        </control>
      </mc:Choice>
      <mc:Fallback>
        <control shapeId="1138" r:id="rId50" name="CommandButton5"/>
      </mc:Fallback>
    </mc:AlternateContent>
    <mc:AlternateContent xmlns:mc="http://schemas.openxmlformats.org/markup-compatibility/2006">
      <mc:Choice Requires="x14">
        <control shapeId="1139" r:id="rId52" name="CommandButton6">
          <controlPr defaultSize="0" print="0" autoLine="0" r:id="rId53">
            <anchor moveWithCells="1">
              <from>
                <xdr:col>1</xdr:col>
                <xdr:colOff>1460500</xdr:colOff>
                <xdr:row>1</xdr:row>
                <xdr:rowOff>50800</xdr:rowOff>
              </from>
              <to>
                <xdr:col>1</xdr:col>
                <xdr:colOff>1644650</xdr:colOff>
                <xdr:row>1</xdr:row>
                <xdr:rowOff>254000</xdr:rowOff>
              </to>
            </anchor>
          </controlPr>
        </control>
      </mc:Choice>
      <mc:Fallback>
        <control shapeId="1139" r:id="rId52" name="CommandButton6"/>
      </mc:Fallback>
    </mc:AlternateContent>
    <mc:AlternateContent xmlns:mc="http://schemas.openxmlformats.org/markup-compatibility/2006">
      <mc:Choice Requires="x14">
        <control shapeId="1145" r:id="rId54" name="CommandButton9">
          <controlPr defaultSize="0" autoLine="0" r:id="rId55">
            <anchor moveWithCells="1">
              <from>
                <xdr:col>0</xdr:col>
                <xdr:colOff>0</xdr:colOff>
                <xdr:row>6</xdr:row>
                <xdr:rowOff>12700</xdr:rowOff>
              </from>
              <to>
                <xdr:col>0</xdr:col>
                <xdr:colOff>1270000</xdr:colOff>
                <xdr:row>7</xdr:row>
                <xdr:rowOff>12700</xdr:rowOff>
              </to>
            </anchor>
          </controlPr>
        </control>
      </mc:Choice>
      <mc:Fallback>
        <control shapeId="1145" r:id="rId54" name="CommandButton9"/>
      </mc:Fallback>
    </mc:AlternateContent>
    <mc:AlternateContent xmlns:mc="http://schemas.openxmlformats.org/markup-compatibility/2006">
      <mc:Choice Requires="x14">
        <control shapeId="1146" r:id="rId56" name="CommandButton10">
          <controlPr defaultSize="0" autoLine="0" r:id="rId57">
            <anchor moveWithCells="1">
              <from>
                <xdr:col>0</xdr:col>
                <xdr:colOff>0</xdr:colOff>
                <xdr:row>7</xdr:row>
                <xdr:rowOff>12700</xdr:rowOff>
              </from>
              <to>
                <xdr:col>0</xdr:col>
                <xdr:colOff>1270000</xdr:colOff>
                <xdr:row>8</xdr:row>
                <xdr:rowOff>12700</xdr:rowOff>
              </to>
            </anchor>
          </controlPr>
        </control>
      </mc:Choice>
      <mc:Fallback>
        <control shapeId="1146" r:id="rId56" name="CommandButton10"/>
      </mc:Fallback>
    </mc:AlternateContent>
    <mc:AlternateContent xmlns:mc="http://schemas.openxmlformats.org/markup-compatibility/2006">
      <mc:Choice Requires="x14">
        <control shapeId="2" r:id="rId58" name="CommandButton11">
          <controlPr defaultSize="0" autoLine="0" r:id="rId59">
            <anchor moveWithCells="1">
              <from>
                <xdr:col>0</xdr:col>
                <xdr:colOff>0</xdr:colOff>
                <xdr:row>4</xdr:row>
                <xdr:rowOff>12700</xdr:rowOff>
              </from>
              <to>
                <xdr:col>0</xdr:col>
                <xdr:colOff>1270000</xdr:colOff>
                <xdr:row>5</xdr:row>
                <xdr:rowOff>12700</xdr:rowOff>
              </to>
            </anchor>
          </controlPr>
        </control>
      </mc:Choice>
      <mc:Fallback>
        <control shapeId="1147" r:id="rId58" name="CommandButton11"/>
      </mc:Fallback>
    </mc:AlternateContent>
    <mc:AlternateContent xmlns:mc="http://schemas.openxmlformats.org/markup-compatibility/2006">
      <mc:Choice Requires="x14">
        <control shapeId="1031" r:id="rId60" name="Drop Down 7">
          <controlPr defaultSize="0" autoLine="0" autoPict="0">
            <anchor moveWithCells="1">
              <from>
                <xdr:col>1</xdr:col>
                <xdr:colOff>31750</xdr:colOff>
                <xdr:row>19</xdr:row>
                <xdr:rowOff>38100</xdr:rowOff>
              </from>
              <to>
                <xdr:col>1</xdr:col>
                <xdr:colOff>895350</xdr:colOff>
                <xdr:row>19</xdr:row>
                <xdr:rowOff>247650</xdr:rowOff>
              </to>
            </anchor>
          </controlPr>
        </control>
      </mc:Choice>
    </mc:AlternateContent>
    <mc:AlternateContent xmlns:mc="http://schemas.openxmlformats.org/markup-compatibility/2006">
      <mc:Choice Requires="x14">
        <control shapeId="1038" r:id="rId61" name="Drop Down 14">
          <controlPr defaultSize="0" autoLine="0" autoPict="0">
            <anchor moveWithCells="1">
              <from>
                <xdr:col>1</xdr:col>
                <xdr:colOff>31750</xdr:colOff>
                <xdr:row>20</xdr:row>
                <xdr:rowOff>38100</xdr:rowOff>
              </from>
              <to>
                <xdr:col>1</xdr:col>
                <xdr:colOff>895350</xdr:colOff>
                <xdr:row>20</xdr:row>
                <xdr:rowOff>247650</xdr:rowOff>
              </to>
            </anchor>
          </controlPr>
        </control>
      </mc:Choice>
    </mc:AlternateContent>
    <mc:AlternateContent xmlns:mc="http://schemas.openxmlformats.org/markup-compatibility/2006">
      <mc:Choice Requires="x14">
        <control shapeId="1042" r:id="rId62" name="Spinner 18">
          <controlPr defaultSize="0" autoPict="0">
            <anchor moveWithCells="1" sizeWithCells="1">
              <from>
                <xdr:col>1</xdr:col>
                <xdr:colOff>717550</xdr:colOff>
                <xdr:row>27</xdr:row>
                <xdr:rowOff>19050</xdr:rowOff>
              </from>
              <to>
                <xdr:col>1</xdr:col>
                <xdr:colOff>914400</xdr:colOff>
                <xdr:row>27</xdr:row>
                <xdr:rowOff>266700</xdr:rowOff>
              </to>
            </anchor>
          </controlPr>
        </control>
      </mc:Choice>
    </mc:AlternateContent>
    <mc:AlternateContent xmlns:mc="http://schemas.openxmlformats.org/markup-compatibility/2006">
      <mc:Choice Requires="x14">
        <control shapeId="1043" r:id="rId63" name="Spinner 19">
          <controlPr defaultSize="0" autoPict="0">
            <anchor moveWithCells="1" sizeWithCells="1">
              <from>
                <xdr:col>1</xdr:col>
                <xdr:colOff>717550</xdr:colOff>
                <xdr:row>28</xdr:row>
                <xdr:rowOff>19050</xdr:rowOff>
              </from>
              <to>
                <xdr:col>1</xdr:col>
                <xdr:colOff>914400</xdr:colOff>
                <xdr:row>28</xdr:row>
                <xdr:rowOff>266700</xdr:rowOff>
              </to>
            </anchor>
          </controlPr>
        </control>
      </mc:Choice>
    </mc:AlternateContent>
    <mc:AlternateContent xmlns:mc="http://schemas.openxmlformats.org/markup-compatibility/2006">
      <mc:Choice Requires="x14">
        <control shapeId="1044" r:id="rId64" name="Spinner 20">
          <controlPr defaultSize="0" autoPict="0">
            <anchor moveWithCells="1" sizeWithCells="1">
              <from>
                <xdr:col>1</xdr:col>
                <xdr:colOff>717550</xdr:colOff>
                <xdr:row>29</xdr:row>
                <xdr:rowOff>19050</xdr:rowOff>
              </from>
              <to>
                <xdr:col>1</xdr:col>
                <xdr:colOff>914400</xdr:colOff>
                <xdr:row>29</xdr:row>
                <xdr:rowOff>266700</xdr:rowOff>
              </to>
            </anchor>
          </controlPr>
        </control>
      </mc:Choice>
    </mc:AlternateContent>
    <mc:AlternateContent xmlns:mc="http://schemas.openxmlformats.org/markup-compatibility/2006">
      <mc:Choice Requires="x14">
        <control shapeId="1045" r:id="rId65" name="Spinner 21">
          <controlPr defaultSize="0" autoPict="0">
            <anchor moveWithCells="1" sizeWithCells="1">
              <from>
                <xdr:col>1</xdr:col>
                <xdr:colOff>717550</xdr:colOff>
                <xdr:row>30</xdr:row>
                <xdr:rowOff>19050</xdr:rowOff>
              </from>
              <to>
                <xdr:col>1</xdr:col>
                <xdr:colOff>914400</xdr:colOff>
                <xdr:row>30</xdr:row>
                <xdr:rowOff>266700</xdr:rowOff>
              </to>
            </anchor>
          </controlPr>
        </control>
      </mc:Choice>
    </mc:AlternateContent>
    <mc:AlternateContent xmlns:mc="http://schemas.openxmlformats.org/markup-compatibility/2006">
      <mc:Choice Requires="x14">
        <control shapeId="1046" r:id="rId66" name="Spinner 22">
          <controlPr defaultSize="0" autoPict="0">
            <anchor moveWithCells="1" sizeWithCells="1">
              <from>
                <xdr:col>1</xdr:col>
                <xdr:colOff>717550</xdr:colOff>
                <xdr:row>31</xdr:row>
                <xdr:rowOff>19050</xdr:rowOff>
              </from>
              <to>
                <xdr:col>1</xdr:col>
                <xdr:colOff>914400</xdr:colOff>
                <xdr:row>31</xdr:row>
                <xdr:rowOff>266700</xdr:rowOff>
              </to>
            </anchor>
          </controlPr>
        </control>
      </mc:Choice>
    </mc:AlternateContent>
    <mc:AlternateContent xmlns:mc="http://schemas.openxmlformats.org/markup-compatibility/2006">
      <mc:Choice Requires="x14">
        <control shapeId="1047" r:id="rId67" name="Spinner 23">
          <controlPr defaultSize="0" autoPict="0">
            <anchor moveWithCells="1" sizeWithCells="1">
              <from>
                <xdr:col>1</xdr:col>
                <xdr:colOff>717550</xdr:colOff>
                <xdr:row>32</xdr:row>
                <xdr:rowOff>19050</xdr:rowOff>
              </from>
              <to>
                <xdr:col>1</xdr:col>
                <xdr:colOff>914400</xdr:colOff>
                <xdr:row>32</xdr:row>
                <xdr:rowOff>266700</xdr:rowOff>
              </to>
            </anchor>
          </controlPr>
        </control>
      </mc:Choice>
    </mc:AlternateContent>
    <mc:AlternateContent xmlns:mc="http://schemas.openxmlformats.org/markup-compatibility/2006">
      <mc:Choice Requires="x14">
        <control shapeId="1048" r:id="rId68" name="Drop Down 24">
          <controlPr defaultSize="0" autoLine="0" autoPict="0">
            <anchor moveWithCells="1">
              <from>
                <xdr:col>1</xdr:col>
                <xdr:colOff>31750</xdr:colOff>
                <xdr:row>21</xdr:row>
                <xdr:rowOff>38100</xdr:rowOff>
              </from>
              <to>
                <xdr:col>1</xdr:col>
                <xdr:colOff>1593850</xdr:colOff>
                <xdr:row>21</xdr:row>
                <xdr:rowOff>247650</xdr:rowOff>
              </to>
            </anchor>
          </controlPr>
        </control>
      </mc:Choice>
    </mc:AlternateContent>
    <mc:AlternateContent xmlns:mc="http://schemas.openxmlformats.org/markup-compatibility/2006">
      <mc:Choice Requires="x14">
        <control shapeId="1049" r:id="rId69" name="Drop Down 25">
          <controlPr defaultSize="0" autoLine="0" autoPict="0">
            <anchor moveWithCells="1">
              <from>
                <xdr:col>1</xdr:col>
                <xdr:colOff>31750</xdr:colOff>
                <xdr:row>22</xdr:row>
                <xdr:rowOff>38100</xdr:rowOff>
              </from>
              <to>
                <xdr:col>1</xdr:col>
                <xdr:colOff>1593850</xdr:colOff>
                <xdr:row>22</xdr:row>
                <xdr:rowOff>247650</xdr:rowOff>
              </to>
            </anchor>
          </controlPr>
        </control>
      </mc:Choice>
    </mc:AlternateContent>
    <mc:AlternateContent xmlns:mc="http://schemas.openxmlformats.org/markup-compatibility/2006">
      <mc:Choice Requires="x14">
        <control shapeId="1050" r:id="rId70" name="Drop Down 26">
          <controlPr defaultSize="0" autoLine="0" autoPict="0">
            <anchor moveWithCells="1">
              <from>
                <xdr:col>1</xdr:col>
                <xdr:colOff>31750</xdr:colOff>
                <xdr:row>23</xdr:row>
                <xdr:rowOff>38100</xdr:rowOff>
              </from>
              <to>
                <xdr:col>1</xdr:col>
                <xdr:colOff>1593850</xdr:colOff>
                <xdr:row>23</xdr:row>
                <xdr:rowOff>247650</xdr:rowOff>
              </to>
            </anchor>
          </controlPr>
        </control>
      </mc:Choice>
    </mc:AlternateContent>
    <mc:AlternateContent xmlns:mc="http://schemas.openxmlformats.org/markup-compatibility/2006">
      <mc:Choice Requires="x14">
        <control shapeId="1051" r:id="rId71" name="Drop Down 27">
          <controlPr defaultSize="0" autoLine="0" autoPict="0">
            <anchor moveWithCells="1">
              <from>
                <xdr:col>1</xdr:col>
                <xdr:colOff>31750</xdr:colOff>
                <xdr:row>24</xdr:row>
                <xdr:rowOff>38100</xdr:rowOff>
              </from>
              <to>
                <xdr:col>1</xdr:col>
                <xdr:colOff>908050</xdr:colOff>
                <xdr:row>24</xdr:row>
                <xdr:rowOff>247650</xdr:rowOff>
              </to>
            </anchor>
          </controlPr>
        </control>
      </mc:Choice>
    </mc:AlternateContent>
    <mc:AlternateContent xmlns:mc="http://schemas.openxmlformats.org/markup-compatibility/2006">
      <mc:Choice Requires="x14">
        <control shapeId="1052" r:id="rId72" name="Drop Down 28">
          <controlPr defaultSize="0" autoLine="0" autoPict="0">
            <anchor moveWithCells="1">
              <from>
                <xdr:col>1</xdr:col>
                <xdr:colOff>31750</xdr:colOff>
                <xdr:row>42</xdr:row>
                <xdr:rowOff>38100</xdr:rowOff>
              </from>
              <to>
                <xdr:col>1</xdr:col>
                <xdr:colOff>895350</xdr:colOff>
                <xdr:row>42</xdr:row>
                <xdr:rowOff>247650</xdr:rowOff>
              </to>
            </anchor>
          </controlPr>
        </control>
      </mc:Choice>
    </mc:AlternateContent>
    <mc:AlternateContent xmlns:mc="http://schemas.openxmlformats.org/markup-compatibility/2006">
      <mc:Choice Requires="x14">
        <control shapeId="1053" r:id="rId73" name="Drop Down 29">
          <controlPr defaultSize="0" autoLine="0" autoPict="0">
            <anchor moveWithCells="1">
              <from>
                <xdr:col>1</xdr:col>
                <xdr:colOff>31750</xdr:colOff>
                <xdr:row>52</xdr:row>
                <xdr:rowOff>38100</xdr:rowOff>
              </from>
              <to>
                <xdr:col>1</xdr:col>
                <xdr:colOff>895350</xdr:colOff>
                <xdr:row>52</xdr:row>
                <xdr:rowOff>247650</xdr:rowOff>
              </to>
            </anchor>
          </controlPr>
        </control>
      </mc:Choice>
    </mc:AlternateContent>
    <mc:AlternateContent xmlns:mc="http://schemas.openxmlformats.org/markup-compatibility/2006">
      <mc:Choice Requires="x14">
        <control shapeId="1054" r:id="rId74" name="Drop Down 30">
          <controlPr defaultSize="0" autoLine="0" autoPict="0">
            <anchor moveWithCells="1">
              <from>
                <xdr:col>1</xdr:col>
                <xdr:colOff>31750</xdr:colOff>
                <xdr:row>53</xdr:row>
                <xdr:rowOff>38100</xdr:rowOff>
              </from>
              <to>
                <xdr:col>1</xdr:col>
                <xdr:colOff>1593850</xdr:colOff>
                <xdr:row>53</xdr:row>
                <xdr:rowOff>247650</xdr:rowOff>
              </to>
            </anchor>
          </controlPr>
        </control>
      </mc:Choice>
    </mc:AlternateContent>
    <mc:AlternateContent xmlns:mc="http://schemas.openxmlformats.org/markup-compatibility/2006">
      <mc:Choice Requires="x14">
        <control shapeId="1055" r:id="rId75" name="Drop Down 31">
          <controlPr defaultSize="0" autoLine="0" autoPict="0">
            <anchor moveWithCells="1">
              <from>
                <xdr:col>2</xdr:col>
                <xdr:colOff>38100</xdr:colOff>
                <xdr:row>23</xdr:row>
                <xdr:rowOff>50800</xdr:rowOff>
              </from>
              <to>
                <xdr:col>2</xdr:col>
                <xdr:colOff>908050</xdr:colOff>
                <xdr:row>23</xdr:row>
                <xdr:rowOff>260350</xdr:rowOff>
              </to>
            </anchor>
          </controlPr>
        </control>
      </mc:Choice>
    </mc:AlternateContent>
    <mc:AlternateContent xmlns:mc="http://schemas.openxmlformats.org/markup-compatibility/2006">
      <mc:Choice Requires="x14">
        <control shapeId="1056" r:id="rId76" name="Drop Down 32">
          <controlPr defaultSize="0" autoLine="0" autoPict="0">
            <anchor moveWithCells="1">
              <from>
                <xdr:col>1</xdr:col>
                <xdr:colOff>31750</xdr:colOff>
                <xdr:row>48</xdr:row>
                <xdr:rowOff>38100</xdr:rowOff>
              </from>
              <to>
                <xdr:col>1</xdr:col>
                <xdr:colOff>895350</xdr:colOff>
                <xdr:row>48</xdr:row>
                <xdr:rowOff>247650</xdr:rowOff>
              </to>
            </anchor>
          </controlPr>
        </control>
      </mc:Choice>
    </mc:AlternateContent>
    <mc:AlternateContent xmlns:mc="http://schemas.openxmlformats.org/markup-compatibility/2006">
      <mc:Choice Requires="x14">
        <control shapeId="1057" r:id="rId77" name="Drop Down 33">
          <controlPr defaultSize="0" autoLine="0" autoPict="0">
            <anchor moveWithCells="1">
              <from>
                <xdr:col>1</xdr:col>
                <xdr:colOff>31750</xdr:colOff>
                <xdr:row>46</xdr:row>
                <xdr:rowOff>38100</xdr:rowOff>
              </from>
              <to>
                <xdr:col>1</xdr:col>
                <xdr:colOff>895350</xdr:colOff>
                <xdr:row>46</xdr:row>
                <xdr:rowOff>247650</xdr:rowOff>
              </to>
            </anchor>
          </controlPr>
        </control>
      </mc:Choice>
    </mc:AlternateContent>
    <mc:AlternateContent xmlns:mc="http://schemas.openxmlformats.org/markup-compatibility/2006">
      <mc:Choice Requires="x14">
        <control shapeId="1058" r:id="rId78" name="Drop Down 34">
          <controlPr defaultSize="0" autoLine="0" autoPict="0">
            <anchor moveWithCells="1">
              <from>
                <xdr:col>1</xdr:col>
                <xdr:colOff>31750</xdr:colOff>
                <xdr:row>45</xdr:row>
                <xdr:rowOff>38100</xdr:rowOff>
              </from>
              <to>
                <xdr:col>1</xdr:col>
                <xdr:colOff>895350</xdr:colOff>
                <xdr:row>45</xdr:row>
                <xdr:rowOff>247650</xdr:rowOff>
              </to>
            </anchor>
          </controlPr>
        </control>
      </mc:Choice>
    </mc:AlternateContent>
    <mc:AlternateContent xmlns:mc="http://schemas.openxmlformats.org/markup-compatibility/2006">
      <mc:Choice Requires="x14">
        <control shapeId="1059" r:id="rId79" name="Drop Down 35">
          <controlPr defaultSize="0" autoLine="0" autoPict="0">
            <anchor moveWithCells="1">
              <from>
                <xdr:col>2</xdr:col>
                <xdr:colOff>31750</xdr:colOff>
                <xdr:row>45</xdr:row>
                <xdr:rowOff>38100</xdr:rowOff>
              </from>
              <to>
                <xdr:col>2</xdr:col>
                <xdr:colOff>895350</xdr:colOff>
                <xdr:row>45</xdr:row>
                <xdr:rowOff>247650</xdr:rowOff>
              </to>
            </anchor>
          </controlPr>
        </control>
      </mc:Choice>
    </mc:AlternateContent>
    <mc:AlternateContent xmlns:mc="http://schemas.openxmlformats.org/markup-compatibility/2006">
      <mc:Choice Requires="x14">
        <control shapeId="1060" r:id="rId80" name="Drop Down 36">
          <controlPr defaultSize="0" autoLine="0" autoPict="0">
            <anchor moveWithCells="1">
              <from>
                <xdr:col>2</xdr:col>
                <xdr:colOff>31750</xdr:colOff>
                <xdr:row>46</xdr:row>
                <xdr:rowOff>38100</xdr:rowOff>
              </from>
              <to>
                <xdr:col>2</xdr:col>
                <xdr:colOff>895350</xdr:colOff>
                <xdr:row>46</xdr:row>
                <xdr:rowOff>247650</xdr:rowOff>
              </to>
            </anchor>
          </controlPr>
        </control>
      </mc:Choice>
    </mc:AlternateContent>
    <mc:AlternateContent xmlns:mc="http://schemas.openxmlformats.org/markup-compatibility/2006">
      <mc:Choice Requires="x14">
        <control shapeId="1061" r:id="rId81" name="Drop Down 37">
          <controlPr defaultSize="0" autoLine="0" autoPict="0">
            <anchor moveWithCells="1">
              <from>
                <xdr:col>1</xdr:col>
                <xdr:colOff>31750</xdr:colOff>
                <xdr:row>57</xdr:row>
                <xdr:rowOff>38100</xdr:rowOff>
              </from>
              <to>
                <xdr:col>1</xdr:col>
                <xdr:colOff>895350</xdr:colOff>
                <xdr:row>57</xdr:row>
                <xdr:rowOff>247650</xdr:rowOff>
              </to>
            </anchor>
          </controlPr>
        </control>
      </mc:Choice>
    </mc:AlternateContent>
    <mc:AlternateContent xmlns:mc="http://schemas.openxmlformats.org/markup-compatibility/2006">
      <mc:Choice Requires="x14">
        <control shapeId="1062" r:id="rId82" name="Drop Down 38">
          <controlPr defaultSize="0" autoLine="0" autoPict="0">
            <anchor moveWithCells="1">
              <from>
                <xdr:col>1</xdr:col>
                <xdr:colOff>31750</xdr:colOff>
                <xdr:row>59</xdr:row>
                <xdr:rowOff>38100</xdr:rowOff>
              </from>
              <to>
                <xdr:col>1</xdr:col>
                <xdr:colOff>895350</xdr:colOff>
                <xdr:row>59</xdr:row>
                <xdr:rowOff>247650</xdr:rowOff>
              </to>
            </anchor>
          </controlPr>
        </control>
      </mc:Choice>
    </mc:AlternateContent>
    <mc:AlternateContent xmlns:mc="http://schemas.openxmlformats.org/markup-compatibility/2006">
      <mc:Choice Requires="x14">
        <control shapeId="1063" r:id="rId83" name="Drop Down 39">
          <controlPr defaultSize="0" autoLine="0" autoPict="0">
            <anchor moveWithCells="1">
              <from>
                <xdr:col>1</xdr:col>
                <xdr:colOff>31750</xdr:colOff>
                <xdr:row>60</xdr:row>
                <xdr:rowOff>38100</xdr:rowOff>
              </from>
              <to>
                <xdr:col>1</xdr:col>
                <xdr:colOff>895350</xdr:colOff>
                <xdr:row>60</xdr:row>
                <xdr:rowOff>247650</xdr:rowOff>
              </to>
            </anchor>
          </controlPr>
        </control>
      </mc:Choice>
    </mc:AlternateContent>
    <mc:AlternateContent xmlns:mc="http://schemas.openxmlformats.org/markup-compatibility/2006">
      <mc:Choice Requires="x14">
        <control shapeId="1064" r:id="rId84" name="Drop Down 40">
          <controlPr defaultSize="0" autoLine="0" autoPict="0">
            <anchor moveWithCells="1">
              <from>
                <xdr:col>1</xdr:col>
                <xdr:colOff>31750</xdr:colOff>
                <xdr:row>61</xdr:row>
                <xdr:rowOff>38100</xdr:rowOff>
              </from>
              <to>
                <xdr:col>1</xdr:col>
                <xdr:colOff>895350</xdr:colOff>
                <xdr:row>61</xdr:row>
                <xdr:rowOff>247650</xdr:rowOff>
              </to>
            </anchor>
          </controlPr>
        </control>
      </mc:Choice>
    </mc:AlternateContent>
    <mc:AlternateContent xmlns:mc="http://schemas.openxmlformats.org/markup-compatibility/2006">
      <mc:Choice Requires="x14">
        <control shapeId="1065" r:id="rId85" name="Drop Down 41">
          <controlPr defaultSize="0" autoLine="0" autoPict="0">
            <anchor moveWithCells="1">
              <from>
                <xdr:col>1</xdr:col>
                <xdr:colOff>31750</xdr:colOff>
                <xdr:row>62</xdr:row>
                <xdr:rowOff>38100</xdr:rowOff>
              </from>
              <to>
                <xdr:col>1</xdr:col>
                <xdr:colOff>895350</xdr:colOff>
                <xdr:row>62</xdr:row>
                <xdr:rowOff>247650</xdr:rowOff>
              </to>
            </anchor>
          </controlPr>
        </control>
      </mc:Choice>
    </mc:AlternateContent>
    <mc:AlternateContent xmlns:mc="http://schemas.openxmlformats.org/markup-compatibility/2006">
      <mc:Choice Requires="x14">
        <control shapeId="1066" r:id="rId86" name="Drop Down 42">
          <controlPr defaultSize="0" autoLine="0" autoPict="0">
            <anchor moveWithCells="1">
              <from>
                <xdr:col>1</xdr:col>
                <xdr:colOff>31750</xdr:colOff>
                <xdr:row>63</xdr:row>
                <xdr:rowOff>38100</xdr:rowOff>
              </from>
              <to>
                <xdr:col>1</xdr:col>
                <xdr:colOff>895350</xdr:colOff>
                <xdr:row>63</xdr:row>
                <xdr:rowOff>247650</xdr:rowOff>
              </to>
            </anchor>
          </controlPr>
        </control>
      </mc:Choice>
    </mc:AlternateContent>
    <mc:AlternateContent xmlns:mc="http://schemas.openxmlformats.org/markup-compatibility/2006">
      <mc:Choice Requires="x14">
        <control shapeId="1067" r:id="rId87" name="Drop Down 43">
          <controlPr defaultSize="0" autoLine="0" autoPict="0">
            <anchor moveWithCells="1">
              <from>
                <xdr:col>1</xdr:col>
                <xdr:colOff>31750</xdr:colOff>
                <xdr:row>64</xdr:row>
                <xdr:rowOff>38100</xdr:rowOff>
              </from>
              <to>
                <xdr:col>1</xdr:col>
                <xdr:colOff>895350</xdr:colOff>
                <xdr:row>64</xdr:row>
                <xdr:rowOff>247650</xdr:rowOff>
              </to>
            </anchor>
          </controlPr>
        </control>
      </mc:Choice>
    </mc:AlternateContent>
    <mc:AlternateContent xmlns:mc="http://schemas.openxmlformats.org/markup-compatibility/2006">
      <mc:Choice Requires="x14">
        <control shapeId="1068" r:id="rId88" name="Drop Down 44">
          <controlPr defaultSize="0" autoLine="0" autoPict="0">
            <anchor moveWithCells="1">
              <from>
                <xdr:col>1</xdr:col>
                <xdr:colOff>31750</xdr:colOff>
                <xdr:row>36</xdr:row>
                <xdr:rowOff>38100</xdr:rowOff>
              </from>
              <to>
                <xdr:col>1</xdr:col>
                <xdr:colOff>1593850</xdr:colOff>
                <xdr:row>36</xdr:row>
                <xdr:rowOff>247650</xdr:rowOff>
              </to>
            </anchor>
          </controlPr>
        </control>
      </mc:Choice>
    </mc:AlternateContent>
    <mc:AlternateContent xmlns:mc="http://schemas.openxmlformats.org/markup-compatibility/2006">
      <mc:Choice Requires="x14">
        <control shapeId="1069" r:id="rId89" name="Drop Down 45">
          <controlPr defaultSize="0" autoLine="0" autoPict="0">
            <anchor moveWithCells="1">
              <from>
                <xdr:col>1</xdr:col>
                <xdr:colOff>31750</xdr:colOff>
                <xdr:row>37</xdr:row>
                <xdr:rowOff>38100</xdr:rowOff>
              </from>
              <to>
                <xdr:col>1</xdr:col>
                <xdr:colOff>895350</xdr:colOff>
                <xdr:row>37</xdr:row>
                <xdr:rowOff>247650</xdr:rowOff>
              </to>
            </anchor>
          </controlPr>
        </control>
      </mc:Choice>
    </mc:AlternateContent>
    <mc:AlternateContent xmlns:mc="http://schemas.openxmlformats.org/markup-compatibility/2006">
      <mc:Choice Requires="x14">
        <control shapeId="1070" r:id="rId90" name="Drop Down 46">
          <controlPr defaultSize="0" autoLine="0" autoPict="0">
            <anchor moveWithCells="1">
              <from>
                <xdr:col>1</xdr:col>
                <xdr:colOff>31750</xdr:colOff>
                <xdr:row>38</xdr:row>
                <xdr:rowOff>38100</xdr:rowOff>
              </from>
              <to>
                <xdr:col>1</xdr:col>
                <xdr:colOff>895350</xdr:colOff>
                <xdr:row>38</xdr:row>
                <xdr:rowOff>247650</xdr:rowOff>
              </to>
            </anchor>
          </controlPr>
        </control>
      </mc:Choice>
    </mc:AlternateContent>
    <mc:AlternateContent xmlns:mc="http://schemas.openxmlformats.org/markup-compatibility/2006">
      <mc:Choice Requires="x14">
        <control shapeId="1071" r:id="rId91" name="Drop Down 47">
          <controlPr defaultSize="0" autoLine="0" autoPict="0">
            <anchor moveWithCells="1">
              <from>
                <xdr:col>1</xdr:col>
                <xdr:colOff>31750</xdr:colOff>
                <xdr:row>40</xdr:row>
                <xdr:rowOff>38100</xdr:rowOff>
              </from>
              <to>
                <xdr:col>1</xdr:col>
                <xdr:colOff>895350</xdr:colOff>
                <xdr:row>40</xdr:row>
                <xdr:rowOff>247650</xdr:rowOff>
              </to>
            </anchor>
          </controlPr>
        </control>
      </mc:Choice>
    </mc:AlternateContent>
    <mc:AlternateContent xmlns:mc="http://schemas.openxmlformats.org/markup-compatibility/2006">
      <mc:Choice Requires="x14">
        <control shapeId="1072" r:id="rId92" name="Drop Down 48">
          <controlPr defaultSize="0" autoLine="0" autoPict="0">
            <anchor moveWithCells="1">
              <from>
                <xdr:col>1</xdr:col>
                <xdr:colOff>31750</xdr:colOff>
                <xdr:row>41</xdr:row>
                <xdr:rowOff>38100</xdr:rowOff>
              </from>
              <to>
                <xdr:col>1</xdr:col>
                <xdr:colOff>895350</xdr:colOff>
                <xdr:row>41</xdr:row>
                <xdr:rowOff>247650</xdr:rowOff>
              </to>
            </anchor>
          </controlPr>
        </control>
      </mc:Choice>
    </mc:AlternateContent>
    <mc:AlternateContent xmlns:mc="http://schemas.openxmlformats.org/markup-compatibility/2006">
      <mc:Choice Requires="x14">
        <control shapeId="1074" r:id="rId93" name="Spinner 50">
          <controlPr defaultSize="0" autoPict="0">
            <anchor moveWithCells="1" sizeWithCells="1">
              <from>
                <xdr:col>2</xdr:col>
                <xdr:colOff>717550</xdr:colOff>
                <xdr:row>36</xdr:row>
                <xdr:rowOff>19050</xdr:rowOff>
              </from>
              <to>
                <xdr:col>2</xdr:col>
                <xdr:colOff>914400</xdr:colOff>
                <xdr:row>36</xdr:row>
                <xdr:rowOff>266700</xdr:rowOff>
              </to>
            </anchor>
          </controlPr>
        </control>
      </mc:Choice>
    </mc:AlternateContent>
    <mc:AlternateContent xmlns:mc="http://schemas.openxmlformats.org/markup-compatibility/2006">
      <mc:Choice Requires="x14">
        <control shapeId="1076" r:id="rId94" name="Spinner 52">
          <controlPr defaultSize="0" autoPict="0">
            <anchor moveWithCells="1" sizeWithCells="1">
              <from>
                <xdr:col>2</xdr:col>
                <xdr:colOff>717550</xdr:colOff>
                <xdr:row>38</xdr:row>
                <xdr:rowOff>19050</xdr:rowOff>
              </from>
              <to>
                <xdr:col>2</xdr:col>
                <xdr:colOff>914400</xdr:colOff>
                <xdr:row>38</xdr:row>
                <xdr:rowOff>266700</xdr:rowOff>
              </to>
            </anchor>
          </controlPr>
        </control>
      </mc:Choice>
    </mc:AlternateContent>
    <mc:AlternateContent xmlns:mc="http://schemas.openxmlformats.org/markup-compatibility/2006">
      <mc:Choice Requires="x14">
        <control shapeId="1078" r:id="rId95" name="Spinner 54">
          <controlPr defaultSize="0" autoPict="0">
            <anchor moveWithCells="1" sizeWithCells="1">
              <from>
                <xdr:col>2</xdr:col>
                <xdr:colOff>774700</xdr:colOff>
                <xdr:row>41</xdr:row>
                <xdr:rowOff>19050</xdr:rowOff>
              </from>
              <to>
                <xdr:col>2</xdr:col>
                <xdr:colOff>933450</xdr:colOff>
                <xdr:row>41</xdr:row>
                <xdr:rowOff>266700</xdr:rowOff>
              </to>
            </anchor>
          </controlPr>
        </control>
      </mc:Choice>
    </mc:AlternateContent>
    <mc:AlternateContent xmlns:mc="http://schemas.openxmlformats.org/markup-compatibility/2006">
      <mc:Choice Requires="x14">
        <control shapeId="1081" r:id="rId96" name="Drop Down 57">
          <controlPr defaultSize="0" autoLine="0" autoPict="0">
            <anchor moveWithCells="1">
              <from>
                <xdr:col>1</xdr:col>
                <xdr:colOff>31750</xdr:colOff>
                <xdr:row>49</xdr:row>
                <xdr:rowOff>38100</xdr:rowOff>
              </from>
              <to>
                <xdr:col>1</xdr:col>
                <xdr:colOff>1593850</xdr:colOff>
                <xdr:row>49</xdr:row>
                <xdr:rowOff>247650</xdr:rowOff>
              </to>
            </anchor>
          </controlPr>
        </control>
      </mc:Choice>
    </mc:AlternateContent>
    <mc:AlternateContent xmlns:mc="http://schemas.openxmlformats.org/markup-compatibility/2006">
      <mc:Choice Requires="x14">
        <control shapeId="1083" r:id="rId97" name="Drop Down 59">
          <controlPr defaultSize="0" autoLine="0" autoPict="0">
            <anchor moveWithCells="1">
              <from>
                <xdr:col>3</xdr:col>
                <xdr:colOff>38100</xdr:colOff>
                <xdr:row>1</xdr:row>
                <xdr:rowOff>38100</xdr:rowOff>
              </from>
              <to>
                <xdr:col>3</xdr:col>
                <xdr:colOff>908050</xdr:colOff>
                <xdr:row>1</xdr:row>
                <xdr:rowOff>247650</xdr:rowOff>
              </to>
            </anchor>
          </controlPr>
        </control>
      </mc:Choice>
    </mc:AlternateContent>
    <mc:AlternateContent xmlns:mc="http://schemas.openxmlformats.org/markup-compatibility/2006">
      <mc:Choice Requires="x14">
        <control shapeId="1085" r:id="rId98" name="Drop Down 61">
          <controlPr defaultSize="0" autoLine="0" autoPict="0">
            <anchor moveWithCells="1">
              <from>
                <xdr:col>2</xdr:col>
                <xdr:colOff>31750</xdr:colOff>
                <xdr:row>2</xdr:row>
                <xdr:rowOff>38100</xdr:rowOff>
              </from>
              <to>
                <xdr:col>2</xdr:col>
                <xdr:colOff>895350</xdr:colOff>
                <xdr:row>2</xdr:row>
                <xdr:rowOff>247650</xdr:rowOff>
              </to>
            </anchor>
          </controlPr>
        </control>
      </mc:Choice>
    </mc:AlternateContent>
    <mc:AlternateContent xmlns:mc="http://schemas.openxmlformats.org/markup-compatibility/2006">
      <mc:Choice Requires="x14">
        <control shapeId="1086" r:id="rId99" name="Button 62">
          <controlPr defaultSize="0" print="0" autoFill="0" autoPict="0" macro="[0]!Sheet1.reset">
            <anchor moveWithCells="1" sizeWithCells="1">
              <from>
                <xdr:col>0</xdr:col>
                <xdr:colOff>323850</xdr:colOff>
                <xdr:row>15</xdr:row>
                <xdr:rowOff>114300</xdr:rowOff>
              </from>
              <to>
                <xdr:col>1</xdr:col>
                <xdr:colOff>76200</xdr:colOff>
                <xdr:row>16</xdr:row>
                <xdr:rowOff>95250</xdr:rowOff>
              </to>
            </anchor>
          </controlPr>
        </control>
      </mc:Choice>
    </mc:AlternateContent>
    <mc:AlternateContent xmlns:mc="http://schemas.openxmlformats.org/markup-compatibility/2006">
      <mc:Choice Requires="x14">
        <control shapeId="1088" r:id="rId100" name="Drop Down 64">
          <controlPr defaultSize="0" autoLine="0" autoPict="0">
            <anchor moveWithCells="1">
              <from>
                <xdr:col>1</xdr:col>
                <xdr:colOff>31750</xdr:colOff>
                <xdr:row>33</xdr:row>
                <xdr:rowOff>38100</xdr:rowOff>
              </from>
              <to>
                <xdr:col>1</xdr:col>
                <xdr:colOff>914400</xdr:colOff>
                <xdr:row>33</xdr:row>
                <xdr:rowOff>247650</xdr:rowOff>
              </to>
            </anchor>
          </controlPr>
        </control>
      </mc:Choice>
    </mc:AlternateContent>
    <mc:AlternateContent xmlns:mc="http://schemas.openxmlformats.org/markup-compatibility/2006">
      <mc:Choice Requires="x14">
        <control shapeId="1090" r:id="rId101" name="Drop Down 66">
          <controlPr defaultSize="0" autoLine="0" autoPict="0">
            <anchor moveWithCells="1">
              <from>
                <xdr:col>3</xdr:col>
                <xdr:colOff>38100</xdr:colOff>
                <xdr:row>2</xdr:row>
                <xdr:rowOff>38100</xdr:rowOff>
              </from>
              <to>
                <xdr:col>3</xdr:col>
                <xdr:colOff>908050</xdr:colOff>
                <xdr:row>2</xdr:row>
                <xdr:rowOff>247650</xdr:rowOff>
              </to>
            </anchor>
          </controlPr>
        </control>
      </mc:Choice>
    </mc:AlternateContent>
    <mc:AlternateContent xmlns:mc="http://schemas.openxmlformats.org/markup-compatibility/2006">
      <mc:Choice Requires="x14">
        <control shapeId="1091" r:id="rId102" name="Drop Down 67">
          <controlPr defaultSize="0" autoLine="0" autoPict="0">
            <anchor moveWithCells="1">
              <from>
                <xdr:col>4</xdr:col>
                <xdr:colOff>38100</xdr:colOff>
                <xdr:row>2</xdr:row>
                <xdr:rowOff>38100</xdr:rowOff>
              </from>
              <to>
                <xdr:col>4</xdr:col>
                <xdr:colOff>908050</xdr:colOff>
                <xdr:row>2</xdr:row>
                <xdr:rowOff>247650</xdr:rowOff>
              </to>
            </anchor>
          </controlPr>
        </control>
      </mc:Choice>
    </mc:AlternateContent>
    <mc:AlternateContent xmlns:mc="http://schemas.openxmlformats.org/markup-compatibility/2006">
      <mc:Choice Requires="x14">
        <control shapeId="1092" r:id="rId103" name="Drop Down 68">
          <controlPr defaultSize="0" autoLine="0" autoPict="0">
            <anchor moveWithCells="1">
              <from>
                <xdr:col>5</xdr:col>
                <xdr:colOff>38100</xdr:colOff>
                <xdr:row>2</xdr:row>
                <xdr:rowOff>38100</xdr:rowOff>
              </from>
              <to>
                <xdr:col>5</xdr:col>
                <xdr:colOff>908050</xdr:colOff>
                <xdr:row>2</xdr:row>
                <xdr:rowOff>247650</xdr:rowOff>
              </to>
            </anchor>
          </controlPr>
        </control>
      </mc:Choice>
    </mc:AlternateContent>
    <mc:AlternateContent xmlns:mc="http://schemas.openxmlformats.org/markup-compatibility/2006">
      <mc:Choice Requires="x14">
        <control shapeId="1093" r:id="rId104" name="Drop Down 69">
          <controlPr defaultSize="0" autoLine="0" autoPict="0">
            <anchor moveWithCells="1">
              <from>
                <xdr:col>6</xdr:col>
                <xdr:colOff>38100</xdr:colOff>
                <xdr:row>2</xdr:row>
                <xdr:rowOff>38100</xdr:rowOff>
              </from>
              <to>
                <xdr:col>6</xdr:col>
                <xdr:colOff>908050</xdr:colOff>
                <xdr:row>2</xdr:row>
                <xdr:rowOff>247650</xdr:rowOff>
              </to>
            </anchor>
          </controlPr>
        </control>
      </mc:Choice>
    </mc:AlternateContent>
    <mc:AlternateContent xmlns:mc="http://schemas.openxmlformats.org/markup-compatibility/2006">
      <mc:Choice Requires="x14">
        <control shapeId="1094" r:id="rId105" name="Spinner 70">
          <controlPr defaultSize="0" autoPict="0">
            <anchor moveWithCells="1" sizeWithCells="1">
              <from>
                <xdr:col>1</xdr:col>
                <xdr:colOff>717550</xdr:colOff>
                <xdr:row>39</xdr:row>
                <xdr:rowOff>19050</xdr:rowOff>
              </from>
              <to>
                <xdr:col>1</xdr:col>
                <xdr:colOff>914400</xdr:colOff>
                <xdr:row>39</xdr:row>
                <xdr:rowOff>266700</xdr:rowOff>
              </to>
            </anchor>
          </controlPr>
        </control>
      </mc:Choice>
    </mc:AlternateContent>
    <mc:AlternateContent xmlns:mc="http://schemas.openxmlformats.org/markup-compatibility/2006">
      <mc:Choice Requires="x14">
        <control shapeId="1095" r:id="rId106" name="Spinner 71">
          <controlPr defaultSize="0" autoPict="0">
            <anchor moveWithCells="1" sizeWithCells="1">
              <from>
                <xdr:col>2</xdr:col>
                <xdr:colOff>742950</xdr:colOff>
                <xdr:row>57</xdr:row>
                <xdr:rowOff>19050</xdr:rowOff>
              </from>
              <to>
                <xdr:col>2</xdr:col>
                <xdr:colOff>908050</xdr:colOff>
                <xdr:row>57</xdr:row>
                <xdr:rowOff>266700</xdr:rowOff>
              </to>
            </anchor>
          </controlPr>
        </control>
      </mc:Choice>
    </mc:AlternateContent>
    <mc:AlternateContent xmlns:mc="http://schemas.openxmlformats.org/markup-compatibility/2006">
      <mc:Choice Requires="x14">
        <control shapeId="1096" r:id="rId107" name="Drop Down 72">
          <controlPr defaultSize="0" autoLine="0" autoPict="0">
            <anchor moveWithCells="1">
              <from>
                <xdr:col>1</xdr:col>
                <xdr:colOff>31750</xdr:colOff>
                <xdr:row>47</xdr:row>
                <xdr:rowOff>38100</xdr:rowOff>
              </from>
              <to>
                <xdr:col>1</xdr:col>
                <xdr:colOff>895350</xdr:colOff>
                <xdr:row>47</xdr:row>
                <xdr:rowOff>247650</xdr:rowOff>
              </to>
            </anchor>
          </controlPr>
        </control>
      </mc:Choice>
    </mc:AlternateContent>
    <mc:AlternateContent xmlns:mc="http://schemas.openxmlformats.org/markup-compatibility/2006">
      <mc:Choice Requires="x14">
        <control shapeId="1097" r:id="rId108" name="Drop Down 73">
          <controlPr defaultSize="0" autoLine="0" autoPict="0">
            <anchor moveWithCells="1">
              <from>
                <xdr:col>1</xdr:col>
                <xdr:colOff>38100</xdr:colOff>
                <xdr:row>10</xdr:row>
                <xdr:rowOff>38100</xdr:rowOff>
              </from>
              <to>
                <xdr:col>1</xdr:col>
                <xdr:colOff>908050</xdr:colOff>
                <xdr:row>10</xdr:row>
                <xdr:rowOff>247650</xdr:rowOff>
              </to>
            </anchor>
          </controlPr>
        </control>
      </mc:Choice>
    </mc:AlternateContent>
    <mc:AlternateContent xmlns:mc="http://schemas.openxmlformats.org/markup-compatibility/2006">
      <mc:Choice Requires="x14">
        <control shapeId="1098" r:id="rId109" name="Drop Down 74">
          <controlPr defaultSize="0" autoLine="0" autoPict="0">
            <anchor moveWithCells="1">
              <from>
                <xdr:col>1</xdr:col>
                <xdr:colOff>38100</xdr:colOff>
                <xdr:row>12</xdr:row>
                <xdr:rowOff>38100</xdr:rowOff>
              </from>
              <to>
                <xdr:col>1</xdr:col>
                <xdr:colOff>908050</xdr:colOff>
                <xdr:row>12</xdr:row>
                <xdr:rowOff>247650</xdr:rowOff>
              </to>
            </anchor>
          </controlPr>
        </control>
      </mc:Choice>
    </mc:AlternateContent>
    <mc:AlternateContent xmlns:mc="http://schemas.openxmlformats.org/markup-compatibility/2006">
      <mc:Choice Requires="x14">
        <control shapeId="1133" r:id="rId110" name="Drop Down 109">
          <controlPr defaultSize="0" autoLine="0" autoPict="0">
            <anchor moveWithCells="1">
              <from>
                <xdr:col>1</xdr:col>
                <xdr:colOff>38100</xdr:colOff>
                <xdr:row>8</xdr:row>
                <xdr:rowOff>38100</xdr:rowOff>
              </from>
              <to>
                <xdr:col>1</xdr:col>
                <xdr:colOff>908050</xdr:colOff>
                <xdr:row>8</xdr:row>
                <xdr:rowOff>247650</xdr:rowOff>
              </to>
            </anchor>
          </controlPr>
        </control>
      </mc:Choice>
    </mc:AlternateContent>
    <mc:AlternateContent xmlns:mc="http://schemas.openxmlformats.org/markup-compatibility/2006">
      <mc:Choice Requires="x14">
        <control shapeId="1148" r:id="rId111" name="Drop Down 124">
          <controlPr defaultSize="0" autoLine="0" autoPict="0">
            <anchor moveWithCells="1">
              <from>
                <xdr:col>1</xdr:col>
                <xdr:colOff>31750</xdr:colOff>
                <xdr:row>58</xdr:row>
                <xdr:rowOff>38100</xdr:rowOff>
              </from>
              <to>
                <xdr:col>1</xdr:col>
                <xdr:colOff>1593850</xdr:colOff>
                <xdr:row>58</xdr:row>
                <xdr:rowOff>247650</xdr:rowOff>
              </to>
            </anchor>
          </controlPr>
        </control>
      </mc:Choice>
    </mc:AlternateContent>
    <mc:AlternateContent xmlns:mc="http://schemas.openxmlformats.org/markup-compatibility/2006">
      <mc:Choice Requires="x14">
        <control shapeId="1150" r:id="rId112" name="Drop Down 126">
          <controlPr defaultSize="0" autoLine="0" autoPict="0">
            <anchor moveWithCells="1">
              <from>
                <xdr:col>1</xdr:col>
                <xdr:colOff>38100</xdr:colOff>
                <xdr:row>14</xdr:row>
                <xdr:rowOff>38100</xdr:rowOff>
              </from>
              <to>
                <xdr:col>1</xdr:col>
                <xdr:colOff>1600200</xdr:colOff>
                <xdr:row>14</xdr:row>
                <xdr:rowOff>247650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3:F11"/>
  <sheetViews>
    <sheetView workbookViewId="0">
      <selection activeCell="G24" sqref="G24"/>
    </sheetView>
  </sheetViews>
  <sheetFormatPr defaultRowHeight="14.5" x14ac:dyDescent="0.35"/>
  <cols>
    <col min="2" max="2" width="12.453125" bestFit="1" customWidth="1"/>
    <col min="3" max="3" width="11.7265625" customWidth="1"/>
    <col min="4" max="5" width="10.453125" customWidth="1"/>
  </cols>
  <sheetData>
    <row r="3" spans="2:6" x14ac:dyDescent="0.35">
      <c r="B3" t="s">
        <v>445</v>
      </c>
    </row>
    <row r="4" spans="2:6" x14ac:dyDescent="0.35">
      <c r="B4" t="s">
        <v>446</v>
      </c>
    </row>
    <row r="5" spans="2:6" x14ac:dyDescent="0.35">
      <c r="B5" t="s">
        <v>447</v>
      </c>
      <c r="F5" t="s">
        <v>452</v>
      </c>
    </row>
    <row r="6" spans="2:6" x14ac:dyDescent="0.35">
      <c r="B6" t="s">
        <v>448</v>
      </c>
      <c r="F6" t="s">
        <v>453</v>
      </c>
    </row>
    <row r="7" spans="2:6" x14ac:dyDescent="0.35">
      <c r="F7" t="s">
        <v>454</v>
      </c>
    </row>
    <row r="8" spans="2:6" x14ac:dyDescent="0.35">
      <c r="F8" t="s">
        <v>455</v>
      </c>
    </row>
    <row r="11" spans="2:6" x14ac:dyDescent="0.35">
      <c r="B11" t="s">
        <v>449</v>
      </c>
      <c r="C11" t="s">
        <v>456</v>
      </c>
      <c r="D11" t="s">
        <v>450</v>
      </c>
      <c r="E11" t="s">
        <v>451</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1746" r:id="rId4" name="CommandButton1">
          <controlPr defaultSize="0" autoLine="0" autoPict="0" r:id="rId5">
            <anchor moveWithCells="1">
              <from>
                <xdr:col>1</xdr:col>
                <xdr:colOff>38100</xdr:colOff>
                <xdr:row>6</xdr:row>
                <xdr:rowOff>38100</xdr:rowOff>
              </from>
              <to>
                <xdr:col>3</xdr:col>
                <xdr:colOff>31750</xdr:colOff>
                <xdr:row>7</xdr:row>
                <xdr:rowOff>152400</xdr:rowOff>
              </to>
            </anchor>
          </controlPr>
        </control>
      </mc:Choice>
      <mc:Fallback>
        <control shapeId="31746" r:id="rId4"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pageSetUpPr fitToPage="1"/>
  </sheetPr>
  <dimension ref="A1:XFC27"/>
  <sheetViews>
    <sheetView topLeftCell="B1" zoomScale="120" zoomScaleNormal="120" workbookViewId="0">
      <selection activeCell="C4" sqref="C4"/>
    </sheetView>
  </sheetViews>
  <sheetFormatPr defaultColWidth="0" defaultRowHeight="0" customHeight="1" zeroHeight="1" x14ac:dyDescent="0.35"/>
  <cols>
    <col min="1" max="1" width="9.1796875" hidden="1" customWidth="1"/>
    <col min="2" max="3" width="42.7265625" customWidth="1"/>
    <col min="4" max="4" width="0.1796875" customWidth="1"/>
    <col min="5" max="7" width="9.1796875" hidden="1"/>
    <col min="8" max="10" width="11.1796875" style="2" hidden="1"/>
    <col min="11" max="16383" width="9.1796875" hidden="1"/>
    <col min="16384" max="16384" width="4.1796875" hidden="1"/>
  </cols>
  <sheetData>
    <row r="1" spans="1:10" s="48" customFormat="1" ht="26.25" customHeight="1" x14ac:dyDescent="0.5">
      <c r="B1" s="295"/>
      <c r="C1" s="331" t="s">
        <v>315</v>
      </c>
      <c r="H1" s="2" t="s">
        <v>404</v>
      </c>
      <c r="I1" s="2" t="s">
        <v>405</v>
      </c>
      <c r="J1" s="2" t="s">
        <v>409</v>
      </c>
    </row>
    <row r="2" spans="1:10" ht="36" customHeight="1" x14ac:dyDescent="0.35">
      <c r="B2" s="296">
        <f>Order!B3</f>
        <v>102477</v>
      </c>
      <c r="C2" s="332" t="s">
        <v>470</v>
      </c>
      <c r="H2" s="2" t="s">
        <v>313</v>
      </c>
      <c r="I2" s="2" t="s">
        <v>410</v>
      </c>
      <c r="J2" s="2" t="s">
        <v>63</v>
      </c>
    </row>
    <row r="3" spans="1:10" ht="36" customHeight="1" x14ac:dyDescent="0.35">
      <c r="B3" s="329" t="s">
        <v>493</v>
      </c>
      <c r="C3" s="423" t="s">
        <v>489</v>
      </c>
      <c r="H3" s="2" t="s">
        <v>26</v>
      </c>
      <c r="I3" s="2" t="s">
        <v>335</v>
      </c>
      <c r="J3" s="2" t="s">
        <v>335</v>
      </c>
    </row>
    <row r="4" spans="1:10" ht="16" customHeight="1" thickBot="1" x14ac:dyDescent="0.4">
      <c r="B4" s="297"/>
      <c r="C4" s="298"/>
      <c r="H4" s="2" t="s">
        <v>333</v>
      </c>
      <c r="I4" s="2" t="s">
        <v>335</v>
      </c>
      <c r="J4" s="2" t="s">
        <v>335</v>
      </c>
    </row>
    <row r="5" spans="1:10" s="257" customFormat="1" ht="22.5" customHeight="1" x14ac:dyDescent="0.35">
      <c r="B5" s="327" t="s">
        <v>331</v>
      </c>
      <c r="C5" s="328" t="s">
        <v>332</v>
      </c>
      <c r="H5" s="330"/>
      <c r="I5" s="330" t="s">
        <v>335</v>
      </c>
      <c r="J5" s="330" t="s">
        <v>335</v>
      </c>
    </row>
    <row r="6" spans="1:10" ht="22.5" customHeight="1" x14ac:dyDescent="0.35">
      <c r="A6" s="310">
        <v>1</v>
      </c>
      <c r="B6" s="299" t="s">
        <v>395</v>
      </c>
      <c r="C6" s="300" t="s">
        <v>395</v>
      </c>
      <c r="D6">
        <v>0</v>
      </c>
      <c r="I6" s="2" t="s">
        <v>412</v>
      </c>
      <c r="J6" s="2" t="s">
        <v>412</v>
      </c>
    </row>
    <row r="7" spans="1:10" ht="22.5" customHeight="1" x14ac:dyDescent="0.35">
      <c r="A7" s="310">
        <v>1</v>
      </c>
      <c r="B7" s="299" t="s">
        <v>334</v>
      </c>
      <c r="C7" s="300" t="s">
        <v>334</v>
      </c>
      <c r="D7">
        <v>1</v>
      </c>
      <c r="I7" s="2" t="s">
        <v>411</v>
      </c>
      <c r="J7" s="2" t="s">
        <v>411</v>
      </c>
    </row>
    <row r="8" spans="1:10" ht="22.5" customHeight="1" x14ac:dyDescent="0.35">
      <c r="B8" s="299" t="s">
        <v>402</v>
      </c>
      <c r="C8" s="300" t="s">
        <v>402</v>
      </c>
    </row>
    <row r="9" spans="1:10" ht="22.5" customHeight="1" x14ac:dyDescent="0.35">
      <c r="B9" s="299" t="s">
        <v>396</v>
      </c>
      <c r="C9" s="300" t="s">
        <v>396</v>
      </c>
    </row>
    <row r="10" spans="1:10" ht="22.5" customHeight="1" x14ac:dyDescent="0.35">
      <c r="B10" s="299" t="s">
        <v>401</v>
      </c>
      <c r="C10" s="300" t="s">
        <v>401</v>
      </c>
    </row>
    <row r="11" spans="1:10" ht="22.5" customHeight="1" x14ac:dyDescent="0.35">
      <c r="B11" s="299" t="s">
        <v>399</v>
      </c>
      <c r="C11" s="300" t="s">
        <v>399</v>
      </c>
    </row>
    <row r="12" spans="1:10" ht="22.5" customHeight="1" x14ac:dyDescent="0.35">
      <c r="B12" s="299" t="s">
        <v>403</v>
      </c>
      <c r="C12" s="300" t="s">
        <v>403</v>
      </c>
    </row>
    <row r="13" spans="1:10" ht="22.5" customHeight="1" x14ac:dyDescent="0.35">
      <c r="B13" s="299" t="s">
        <v>400</v>
      </c>
      <c r="C13" s="300" t="s">
        <v>400</v>
      </c>
    </row>
    <row r="14" spans="1:10" ht="22.5" customHeight="1" x14ac:dyDescent="0.35">
      <c r="A14" s="310">
        <v>1</v>
      </c>
      <c r="B14" s="299" t="s">
        <v>406</v>
      </c>
      <c r="C14" s="300" t="s">
        <v>406</v>
      </c>
      <c r="D14">
        <v>1</v>
      </c>
    </row>
    <row r="15" spans="1:10" ht="22.5" customHeight="1" x14ac:dyDescent="0.35">
      <c r="B15" s="299" t="s">
        <v>407</v>
      </c>
      <c r="C15" s="300" t="s">
        <v>407</v>
      </c>
    </row>
    <row r="16" spans="1:10" ht="22.5" customHeight="1" x14ac:dyDescent="0.35">
      <c r="B16" s="299" t="s">
        <v>397</v>
      </c>
      <c r="C16" s="300" t="s">
        <v>397</v>
      </c>
    </row>
    <row r="17" spans="2:3" ht="22.5" customHeight="1" x14ac:dyDescent="0.35">
      <c r="B17" s="299" t="s">
        <v>398</v>
      </c>
      <c r="C17" s="300" t="s">
        <v>398</v>
      </c>
    </row>
    <row r="18" spans="2:3" ht="22.5" customHeight="1" x14ac:dyDescent="0.35">
      <c r="B18" s="299" t="s">
        <v>314</v>
      </c>
      <c r="C18" s="300" t="s">
        <v>314</v>
      </c>
    </row>
    <row r="19" spans="2:3" ht="22.5" customHeight="1" x14ac:dyDescent="0.35">
      <c r="B19" s="299" t="s">
        <v>336</v>
      </c>
      <c r="C19" s="300" t="s">
        <v>336</v>
      </c>
    </row>
    <row r="20" spans="2:3" ht="22.5" customHeight="1" x14ac:dyDescent="0.35">
      <c r="B20" s="299" t="s">
        <v>408</v>
      </c>
      <c r="C20" s="300" t="s">
        <v>408</v>
      </c>
    </row>
    <row r="21" spans="2:3" ht="22.5" customHeight="1" x14ac:dyDescent="0.35">
      <c r="B21" s="299" t="s">
        <v>337</v>
      </c>
      <c r="C21" s="300" t="s">
        <v>337</v>
      </c>
    </row>
    <row r="22" spans="2:3" ht="18" customHeight="1" x14ac:dyDescent="0.4">
      <c r="B22" s="455"/>
      <c r="C22" s="456"/>
    </row>
    <row r="23" spans="2:3" ht="18" customHeight="1" x14ac:dyDescent="0.4">
      <c r="B23" s="457"/>
      <c r="C23" s="458"/>
    </row>
    <row r="24" spans="2:3" ht="18" customHeight="1" x14ac:dyDescent="0.4">
      <c r="B24" s="457"/>
      <c r="C24" s="458"/>
    </row>
    <row r="25" spans="2:3" ht="18" customHeight="1" x14ac:dyDescent="0.4">
      <c r="B25" s="457"/>
      <c r="C25" s="458"/>
    </row>
    <row r="26" spans="2:3" ht="18" customHeight="1" x14ac:dyDescent="0.35">
      <c r="B26" s="451"/>
      <c r="C26" s="452"/>
    </row>
    <row r="27" spans="2:3" ht="18" customHeight="1" thickBot="1" x14ac:dyDescent="0.4">
      <c r="B27" s="453"/>
      <c r="C27" s="454"/>
    </row>
  </sheetData>
  <sheetProtection selectLockedCells="1"/>
  <mergeCells count="6">
    <mergeCell ref="B26:C26"/>
    <mergeCell ref="B27:C27"/>
    <mergeCell ref="B22:C22"/>
    <mergeCell ref="B23:C23"/>
    <mergeCell ref="B24:C24"/>
    <mergeCell ref="B25:C25"/>
  </mergeCells>
  <printOptions horizontalCentered="1"/>
  <pageMargins left="0.7" right="0.7" top="0.75" bottom="0.75" header="0.3" footer="0.3"/>
  <pageSetup scale="61" orientation="portrait" r:id="rId1"/>
  <headerFooter>
    <oddFooter>&amp;L&amp;8F-0600-23A&amp;CECN 19-024&amp;R5/16/19</oddFooter>
  </headerFooter>
  <drawing r:id="rId2"/>
  <legacyDrawing r:id="rId3"/>
  <controls>
    <mc:AlternateContent xmlns:mc="http://schemas.openxmlformats.org/markup-compatibility/2006">
      <mc:Choice Requires="x14">
        <control shapeId="25644" r:id="rId4" name="CheckBox42">
          <controlPr defaultSize="0" autoFill="0" autoLine="0" r:id="rId5">
            <anchor moveWithCells="1">
              <from>
                <xdr:col>2</xdr:col>
                <xdr:colOff>88900</xdr:colOff>
                <xdr:row>20</xdr:row>
                <xdr:rowOff>69850</xdr:rowOff>
              </from>
              <to>
                <xdr:col>2</xdr:col>
                <xdr:colOff>254000</xdr:colOff>
                <xdr:row>20</xdr:row>
                <xdr:rowOff>241300</xdr:rowOff>
              </to>
            </anchor>
          </controlPr>
        </control>
      </mc:Choice>
      <mc:Fallback>
        <control shapeId="25644" r:id="rId4" name="CheckBox42"/>
      </mc:Fallback>
    </mc:AlternateContent>
    <mc:AlternateContent xmlns:mc="http://schemas.openxmlformats.org/markup-compatibility/2006">
      <mc:Choice Requires="x14">
        <control shapeId="25643" r:id="rId6" name="CheckBox41">
          <controlPr defaultSize="0" autoFill="0" autoLine="0" r:id="rId5">
            <anchor moveWithCells="1">
              <from>
                <xdr:col>2</xdr:col>
                <xdr:colOff>88900</xdr:colOff>
                <xdr:row>19</xdr:row>
                <xdr:rowOff>69850</xdr:rowOff>
              </from>
              <to>
                <xdr:col>2</xdr:col>
                <xdr:colOff>254000</xdr:colOff>
                <xdr:row>19</xdr:row>
                <xdr:rowOff>241300</xdr:rowOff>
              </to>
            </anchor>
          </controlPr>
        </control>
      </mc:Choice>
      <mc:Fallback>
        <control shapeId="25643" r:id="rId6" name="CheckBox41"/>
      </mc:Fallback>
    </mc:AlternateContent>
    <mc:AlternateContent xmlns:mc="http://schemas.openxmlformats.org/markup-compatibility/2006">
      <mc:Choice Requires="x14">
        <control shapeId="25642" r:id="rId7" name="CheckBox40">
          <controlPr defaultSize="0" autoFill="0" autoLine="0" r:id="rId5">
            <anchor moveWithCells="1">
              <from>
                <xdr:col>2</xdr:col>
                <xdr:colOff>88900</xdr:colOff>
                <xdr:row>18</xdr:row>
                <xdr:rowOff>69850</xdr:rowOff>
              </from>
              <to>
                <xdr:col>2</xdr:col>
                <xdr:colOff>254000</xdr:colOff>
                <xdr:row>18</xdr:row>
                <xdr:rowOff>241300</xdr:rowOff>
              </to>
            </anchor>
          </controlPr>
        </control>
      </mc:Choice>
      <mc:Fallback>
        <control shapeId="25642" r:id="rId7" name="CheckBox40"/>
      </mc:Fallback>
    </mc:AlternateContent>
    <mc:AlternateContent xmlns:mc="http://schemas.openxmlformats.org/markup-compatibility/2006">
      <mc:Choice Requires="x14">
        <control shapeId="25641" r:id="rId8" name="CheckBox39">
          <controlPr defaultSize="0" autoFill="0" autoLine="0" r:id="rId5">
            <anchor moveWithCells="1">
              <from>
                <xdr:col>2</xdr:col>
                <xdr:colOff>88900</xdr:colOff>
                <xdr:row>17</xdr:row>
                <xdr:rowOff>69850</xdr:rowOff>
              </from>
              <to>
                <xdr:col>2</xdr:col>
                <xdr:colOff>254000</xdr:colOff>
                <xdr:row>17</xdr:row>
                <xdr:rowOff>241300</xdr:rowOff>
              </to>
            </anchor>
          </controlPr>
        </control>
      </mc:Choice>
      <mc:Fallback>
        <control shapeId="25641" r:id="rId8" name="CheckBox39"/>
      </mc:Fallback>
    </mc:AlternateContent>
    <mc:AlternateContent xmlns:mc="http://schemas.openxmlformats.org/markup-compatibility/2006">
      <mc:Choice Requires="x14">
        <control shapeId="25640" r:id="rId9" name="CheckBox38">
          <controlPr defaultSize="0" autoFill="0" autoLine="0" r:id="rId5">
            <anchor moveWithCells="1">
              <from>
                <xdr:col>2</xdr:col>
                <xdr:colOff>88900</xdr:colOff>
                <xdr:row>16</xdr:row>
                <xdr:rowOff>69850</xdr:rowOff>
              </from>
              <to>
                <xdr:col>2</xdr:col>
                <xdr:colOff>254000</xdr:colOff>
                <xdr:row>16</xdr:row>
                <xdr:rowOff>241300</xdr:rowOff>
              </to>
            </anchor>
          </controlPr>
        </control>
      </mc:Choice>
      <mc:Fallback>
        <control shapeId="25640" r:id="rId9" name="CheckBox38"/>
      </mc:Fallback>
    </mc:AlternateContent>
    <mc:AlternateContent xmlns:mc="http://schemas.openxmlformats.org/markup-compatibility/2006">
      <mc:Choice Requires="x14">
        <control shapeId="25639" r:id="rId10" name="CheckBox37">
          <controlPr defaultSize="0" autoFill="0" autoLine="0" r:id="rId5">
            <anchor moveWithCells="1">
              <from>
                <xdr:col>2</xdr:col>
                <xdr:colOff>88900</xdr:colOff>
                <xdr:row>15</xdr:row>
                <xdr:rowOff>69850</xdr:rowOff>
              </from>
              <to>
                <xdr:col>2</xdr:col>
                <xdr:colOff>254000</xdr:colOff>
                <xdr:row>15</xdr:row>
                <xdr:rowOff>241300</xdr:rowOff>
              </to>
            </anchor>
          </controlPr>
        </control>
      </mc:Choice>
      <mc:Fallback>
        <control shapeId="25639" r:id="rId10" name="CheckBox37"/>
      </mc:Fallback>
    </mc:AlternateContent>
    <mc:AlternateContent xmlns:mc="http://schemas.openxmlformats.org/markup-compatibility/2006">
      <mc:Choice Requires="x14">
        <control shapeId="25638" r:id="rId11" name="CheckBox36">
          <controlPr defaultSize="0" autoFill="0" autoLine="0" r:id="rId5">
            <anchor moveWithCells="1">
              <from>
                <xdr:col>2</xdr:col>
                <xdr:colOff>88900</xdr:colOff>
                <xdr:row>14</xdr:row>
                <xdr:rowOff>69850</xdr:rowOff>
              </from>
              <to>
                <xdr:col>2</xdr:col>
                <xdr:colOff>254000</xdr:colOff>
                <xdr:row>14</xdr:row>
                <xdr:rowOff>241300</xdr:rowOff>
              </to>
            </anchor>
          </controlPr>
        </control>
      </mc:Choice>
      <mc:Fallback>
        <control shapeId="25638" r:id="rId11" name="CheckBox36"/>
      </mc:Fallback>
    </mc:AlternateContent>
    <mc:AlternateContent xmlns:mc="http://schemas.openxmlformats.org/markup-compatibility/2006">
      <mc:Choice Requires="x14">
        <control shapeId="25637" r:id="rId12" name="CheckBox35">
          <controlPr defaultSize="0" autoFill="0" autoLine="0" r:id="rId5">
            <anchor moveWithCells="1">
              <from>
                <xdr:col>2</xdr:col>
                <xdr:colOff>88900</xdr:colOff>
                <xdr:row>13</xdr:row>
                <xdr:rowOff>69850</xdr:rowOff>
              </from>
              <to>
                <xdr:col>2</xdr:col>
                <xdr:colOff>254000</xdr:colOff>
                <xdr:row>13</xdr:row>
                <xdr:rowOff>241300</xdr:rowOff>
              </to>
            </anchor>
          </controlPr>
        </control>
      </mc:Choice>
      <mc:Fallback>
        <control shapeId="25637" r:id="rId12" name="CheckBox35"/>
      </mc:Fallback>
    </mc:AlternateContent>
    <mc:AlternateContent xmlns:mc="http://schemas.openxmlformats.org/markup-compatibility/2006">
      <mc:Choice Requires="x14">
        <control shapeId="25636" r:id="rId13" name="CheckBox34">
          <controlPr defaultSize="0" autoFill="0" autoLine="0" r:id="rId5">
            <anchor moveWithCells="1">
              <from>
                <xdr:col>2</xdr:col>
                <xdr:colOff>88900</xdr:colOff>
                <xdr:row>12</xdr:row>
                <xdr:rowOff>69850</xdr:rowOff>
              </from>
              <to>
                <xdr:col>2</xdr:col>
                <xdr:colOff>254000</xdr:colOff>
                <xdr:row>12</xdr:row>
                <xdr:rowOff>241300</xdr:rowOff>
              </to>
            </anchor>
          </controlPr>
        </control>
      </mc:Choice>
      <mc:Fallback>
        <control shapeId="25636" r:id="rId13" name="CheckBox34"/>
      </mc:Fallback>
    </mc:AlternateContent>
    <mc:AlternateContent xmlns:mc="http://schemas.openxmlformats.org/markup-compatibility/2006">
      <mc:Choice Requires="x14">
        <control shapeId="25635" r:id="rId14" name="CheckBox33">
          <controlPr defaultSize="0" autoFill="0" autoLine="0" r:id="rId5">
            <anchor moveWithCells="1">
              <from>
                <xdr:col>2</xdr:col>
                <xdr:colOff>88900</xdr:colOff>
                <xdr:row>10</xdr:row>
                <xdr:rowOff>69850</xdr:rowOff>
              </from>
              <to>
                <xdr:col>2</xdr:col>
                <xdr:colOff>254000</xdr:colOff>
                <xdr:row>10</xdr:row>
                <xdr:rowOff>241300</xdr:rowOff>
              </to>
            </anchor>
          </controlPr>
        </control>
      </mc:Choice>
      <mc:Fallback>
        <control shapeId="25635" r:id="rId14" name="CheckBox33"/>
      </mc:Fallback>
    </mc:AlternateContent>
    <mc:AlternateContent xmlns:mc="http://schemas.openxmlformats.org/markup-compatibility/2006">
      <mc:Choice Requires="x14">
        <control shapeId="25634" r:id="rId15" name="CheckBox32">
          <controlPr defaultSize="0" autoFill="0" autoLine="0" r:id="rId16">
            <anchor moveWithCells="1">
              <from>
                <xdr:col>2</xdr:col>
                <xdr:colOff>88900</xdr:colOff>
                <xdr:row>9</xdr:row>
                <xdr:rowOff>69850</xdr:rowOff>
              </from>
              <to>
                <xdr:col>2</xdr:col>
                <xdr:colOff>254000</xdr:colOff>
                <xdr:row>9</xdr:row>
                <xdr:rowOff>241300</xdr:rowOff>
              </to>
            </anchor>
          </controlPr>
        </control>
      </mc:Choice>
      <mc:Fallback>
        <control shapeId="25634" r:id="rId15" name="CheckBox32"/>
      </mc:Fallback>
    </mc:AlternateContent>
    <mc:AlternateContent xmlns:mc="http://schemas.openxmlformats.org/markup-compatibility/2006">
      <mc:Choice Requires="x14">
        <control shapeId="25633" r:id="rId17" name="CheckBox31">
          <controlPr defaultSize="0" autoFill="0" autoLine="0" r:id="rId16">
            <anchor moveWithCells="1">
              <from>
                <xdr:col>2</xdr:col>
                <xdr:colOff>88900</xdr:colOff>
                <xdr:row>8</xdr:row>
                <xdr:rowOff>69850</xdr:rowOff>
              </from>
              <to>
                <xdr:col>2</xdr:col>
                <xdr:colOff>254000</xdr:colOff>
                <xdr:row>8</xdr:row>
                <xdr:rowOff>241300</xdr:rowOff>
              </to>
            </anchor>
          </controlPr>
        </control>
      </mc:Choice>
      <mc:Fallback>
        <control shapeId="25633" r:id="rId17" name="CheckBox31"/>
      </mc:Fallback>
    </mc:AlternateContent>
    <mc:AlternateContent xmlns:mc="http://schemas.openxmlformats.org/markup-compatibility/2006">
      <mc:Choice Requires="x14">
        <control shapeId="25632" r:id="rId18" name="CheckBox30">
          <controlPr defaultSize="0" autoFill="0" autoLine="0" r:id="rId5">
            <anchor moveWithCells="1">
              <from>
                <xdr:col>2</xdr:col>
                <xdr:colOff>88900</xdr:colOff>
                <xdr:row>7</xdr:row>
                <xdr:rowOff>69850</xdr:rowOff>
              </from>
              <to>
                <xdr:col>2</xdr:col>
                <xdr:colOff>254000</xdr:colOff>
                <xdr:row>7</xdr:row>
                <xdr:rowOff>241300</xdr:rowOff>
              </to>
            </anchor>
          </controlPr>
        </control>
      </mc:Choice>
      <mc:Fallback>
        <control shapeId="25632" r:id="rId18" name="CheckBox30"/>
      </mc:Fallback>
    </mc:AlternateContent>
    <mc:AlternateContent xmlns:mc="http://schemas.openxmlformats.org/markup-compatibility/2006">
      <mc:Choice Requires="x14">
        <control shapeId="25631" r:id="rId19" name="CheckBox29">
          <controlPr defaultSize="0" autoFill="0" autoLine="0" r:id="rId16">
            <anchor moveWithCells="1">
              <from>
                <xdr:col>2</xdr:col>
                <xdr:colOff>88900</xdr:colOff>
                <xdr:row>6</xdr:row>
                <xdr:rowOff>69850</xdr:rowOff>
              </from>
              <to>
                <xdr:col>2</xdr:col>
                <xdr:colOff>254000</xdr:colOff>
                <xdr:row>6</xdr:row>
                <xdr:rowOff>241300</xdr:rowOff>
              </to>
            </anchor>
          </controlPr>
        </control>
      </mc:Choice>
      <mc:Fallback>
        <control shapeId="25631" r:id="rId19" name="CheckBox29"/>
      </mc:Fallback>
    </mc:AlternateContent>
    <mc:AlternateContent xmlns:mc="http://schemas.openxmlformats.org/markup-compatibility/2006">
      <mc:Choice Requires="x14">
        <control shapeId="25630" r:id="rId20" name="CheckBox28">
          <controlPr defaultSize="0" autoFill="0" autoLine="0" r:id="rId5">
            <anchor moveWithCells="1">
              <from>
                <xdr:col>2</xdr:col>
                <xdr:colOff>88900</xdr:colOff>
                <xdr:row>5</xdr:row>
                <xdr:rowOff>69850</xdr:rowOff>
              </from>
              <to>
                <xdr:col>2</xdr:col>
                <xdr:colOff>254000</xdr:colOff>
                <xdr:row>5</xdr:row>
                <xdr:rowOff>241300</xdr:rowOff>
              </to>
            </anchor>
          </controlPr>
        </control>
      </mc:Choice>
      <mc:Fallback>
        <control shapeId="25630" r:id="rId20" name="CheckBox28"/>
      </mc:Fallback>
    </mc:AlternateContent>
    <mc:AlternateContent xmlns:mc="http://schemas.openxmlformats.org/markup-compatibility/2006">
      <mc:Choice Requires="x14">
        <control shapeId="25628" r:id="rId21" name="CheckBox26">
          <controlPr defaultSize="0" autoFill="0" autoLine="0" r:id="rId5">
            <anchor moveWithCells="1">
              <from>
                <xdr:col>1</xdr:col>
                <xdr:colOff>88900</xdr:colOff>
                <xdr:row>19</xdr:row>
                <xdr:rowOff>69850</xdr:rowOff>
              </from>
              <to>
                <xdr:col>1</xdr:col>
                <xdr:colOff>254000</xdr:colOff>
                <xdr:row>19</xdr:row>
                <xdr:rowOff>241300</xdr:rowOff>
              </to>
            </anchor>
          </controlPr>
        </control>
      </mc:Choice>
      <mc:Fallback>
        <control shapeId="25628" r:id="rId21" name="CheckBox26"/>
      </mc:Fallback>
    </mc:AlternateContent>
    <mc:AlternateContent xmlns:mc="http://schemas.openxmlformats.org/markup-compatibility/2006">
      <mc:Choice Requires="x14">
        <control shapeId="25627" r:id="rId22" name="CheckBox25">
          <controlPr defaultSize="0" autoFill="0" autoLine="0" r:id="rId5">
            <anchor moveWithCells="1">
              <from>
                <xdr:col>1</xdr:col>
                <xdr:colOff>88900</xdr:colOff>
                <xdr:row>14</xdr:row>
                <xdr:rowOff>69850</xdr:rowOff>
              </from>
              <to>
                <xdr:col>1</xdr:col>
                <xdr:colOff>254000</xdr:colOff>
                <xdr:row>14</xdr:row>
                <xdr:rowOff>241300</xdr:rowOff>
              </to>
            </anchor>
          </controlPr>
        </control>
      </mc:Choice>
      <mc:Fallback>
        <control shapeId="25627" r:id="rId22" name="CheckBox25"/>
      </mc:Fallback>
    </mc:AlternateContent>
    <mc:AlternateContent xmlns:mc="http://schemas.openxmlformats.org/markup-compatibility/2006">
      <mc:Choice Requires="x14">
        <control shapeId="25626" r:id="rId23" name="CheckBox24">
          <controlPr defaultSize="0" autoFill="0" autoLine="0" r:id="rId5">
            <anchor moveWithCells="1">
              <from>
                <xdr:col>1</xdr:col>
                <xdr:colOff>88900</xdr:colOff>
                <xdr:row>13</xdr:row>
                <xdr:rowOff>69850</xdr:rowOff>
              </from>
              <to>
                <xdr:col>1</xdr:col>
                <xdr:colOff>254000</xdr:colOff>
                <xdr:row>13</xdr:row>
                <xdr:rowOff>241300</xdr:rowOff>
              </to>
            </anchor>
          </controlPr>
        </control>
      </mc:Choice>
      <mc:Fallback>
        <control shapeId="25626" r:id="rId23" name="CheckBox24"/>
      </mc:Fallback>
    </mc:AlternateContent>
    <mc:AlternateContent xmlns:mc="http://schemas.openxmlformats.org/markup-compatibility/2006">
      <mc:Choice Requires="x14">
        <control shapeId="25625" r:id="rId24" name="CheckBox23">
          <controlPr defaultSize="0" autoFill="0" autoLine="0" r:id="rId5">
            <anchor moveWithCells="1">
              <from>
                <xdr:col>1</xdr:col>
                <xdr:colOff>88900</xdr:colOff>
                <xdr:row>12</xdr:row>
                <xdr:rowOff>69850</xdr:rowOff>
              </from>
              <to>
                <xdr:col>1</xdr:col>
                <xdr:colOff>254000</xdr:colOff>
                <xdr:row>12</xdr:row>
                <xdr:rowOff>241300</xdr:rowOff>
              </to>
            </anchor>
          </controlPr>
        </control>
      </mc:Choice>
      <mc:Fallback>
        <control shapeId="25625" r:id="rId24" name="CheckBox23"/>
      </mc:Fallback>
    </mc:AlternateContent>
    <mc:AlternateContent xmlns:mc="http://schemas.openxmlformats.org/markup-compatibility/2006">
      <mc:Choice Requires="x14">
        <control shapeId="25612" r:id="rId25" name="CommandButton1">
          <controlPr defaultSize="0" print="0" autoLine="0" autoPict="0" r:id="rId26">
            <anchor moveWithCells="1">
              <from>
                <xdr:col>2</xdr:col>
                <xdr:colOff>2012950</xdr:colOff>
                <xdr:row>1</xdr:row>
                <xdr:rowOff>127000</xdr:rowOff>
              </from>
              <to>
                <xdr:col>4</xdr:col>
                <xdr:colOff>0</xdr:colOff>
                <xdr:row>2</xdr:row>
                <xdr:rowOff>0</xdr:rowOff>
              </to>
            </anchor>
          </controlPr>
        </control>
      </mc:Choice>
      <mc:Fallback>
        <control shapeId="25612" r:id="rId25" name="CommandButton1"/>
      </mc:Fallback>
    </mc:AlternateContent>
    <mc:AlternateContent xmlns:mc="http://schemas.openxmlformats.org/markup-compatibility/2006">
      <mc:Choice Requires="x14">
        <control shapeId="25611" r:id="rId27" name="CheckBox11">
          <controlPr defaultSize="0" autoFill="0" autoLine="0" r:id="rId5">
            <anchor moveWithCells="1">
              <from>
                <xdr:col>1</xdr:col>
                <xdr:colOff>88900</xdr:colOff>
                <xdr:row>20</xdr:row>
                <xdr:rowOff>76200</xdr:rowOff>
              </from>
              <to>
                <xdr:col>1</xdr:col>
                <xdr:colOff>254000</xdr:colOff>
                <xdr:row>20</xdr:row>
                <xdr:rowOff>247650</xdr:rowOff>
              </to>
            </anchor>
          </controlPr>
        </control>
      </mc:Choice>
      <mc:Fallback>
        <control shapeId="25611" r:id="rId27" name="CheckBox11"/>
      </mc:Fallback>
    </mc:AlternateContent>
    <mc:AlternateContent xmlns:mc="http://schemas.openxmlformats.org/markup-compatibility/2006">
      <mc:Choice Requires="x14">
        <control shapeId="25610" r:id="rId28" name="CheckBox10">
          <controlPr defaultSize="0" autoFill="0" autoLine="0" r:id="rId5">
            <anchor moveWithCells="1">
              <from>
                <xdr:col>1</xdr:col>
                <xdr:colOff>76200</xdr:colOff>
                <xdr:row>18</xdr:row>
                <xdr:rowOff>76200</xdr:rowOff>
              </from>
              <to>
                <xdr:col>1</xdr:col>
                <xdr:colOff>241300</xdr:colOff>
                <xdr:row>18</xdr:row>
                <xdr:rowOff>247650</xdr:rowOff>
              </to>
            </anchor>
          </controlPr>
        </control>
      </mc:Choice>
      <mc:Fallback>
        <control shapeId="25610" r:id="rId28" name="CheckBox10"/>
      </mc:Fallback>
    </mc:AlternateContent>
    <mc:AlternateContent xmlns:mc="http://schemas.openxmlformats.org/markup-compatibility/2006">
      <mc:Choice Requires="x14">
        <control shapeId="25609" r:id="rId29" name="CheckBox9">
          <controlPr defaultSize="0" autoFill="0" autoLine="0" r:id="rId5">
            <anchor moveWithCells="1">
              <from>
                <xdr:col>1</xdr:col>
                <xdr:colOff>76200</xdr:colOff>
                <xdr:row>17</xdr:row>
                <xdr:rowOff>76200</xdr:rowOff>
              </from>
              <to>
                <xdr:col>1</xdr:col>
                <xdr:colOff>241300</xdr:colOff>
                <xdr:row>17</xdr:row>
                <xdr:rowOff>247650</xdr:rowOff>
              </to>
            </anchor>
          </controlPr>
        </control>
      </mc:Choice>
      <mc:Fallback>
        <control shapeId="25609" r:id="rId29" name="CheckBox9"/>
      </mc:Fallback>
    </mc:AlternateContent>
    <mc:AlternateContent xmlns:mc="http://schemas.openxmlformats.org/markup-compatibility/2006">
      <mc:Choice Requires="x14">
        <control shapeId="25608" r:id="rId30" name="CheckBox8">
          <controlPr defaultSize="0" autoFill="0" autoLine="0" r:id="rId5">
            <anchor moveWithCells="1">
              <from>
                <xdr:col>1</xdr:col>
                <xdr:colOff>76200</xdr:colOff>
                <xdr:row>16</xdr:row>
                <xdr:rowOff>76200</xdr:rowOff>
              </from>
              <to>
                <xdr:col>1</xdr:col>
                <xdr:colOff>241300</xdr:colOff>
                <xdr:row>16</xdr:row>
                <xdr:rowOff>247650</xdr:rowOff>
              </to>
            </anchor>
          </controlPr>
        </control>
      </mc:Choice>
      <mc:Fallback>
        <control shapeId="25608" r:id="rId30" name="CheckBox8"/>
      </mc:Fallback>
    </mc:AlternateContent>
    <mc:AlternateContent xmlns:mc="http://schemas.openxmlformats.org/markup-compatibility/2006">
      <mc:Choice Requires="x14">
        <control shapeId="25607" r:id="rId31" name="CheckBox7">
          <controlPr defaultSize="0" autoFill="0" autoLine="0" r:id="rId5">
            <anchor moveWithCells="1">
              <from>
                <xdr:col>1</xdr:col>
                <xdr:colOff>76200</xdr:colOff>
                <xdr:row>15</xdr:row>
                <xdr:rowOff>76200</xdr:rowOff>
              </from>
              <to>
                <xdr:col>1</xdr:col>
                <xdr:colOff>241300</xdr:colOff>
                <xdr:row>15</xdr:row>
                <xdr:rowOff>247650</xdr:rowOff>
              </to>
            </anchor>
          </controlPr>
        </control>
      </mc:Choice>
      <mc:Fallback>
        <control shapeId="25607" r:id="rId31" name="CheckBox7"/>
      </mc:Fallback>
    </mc:AlternateContent>
    <mc:AlternateContent xmlns:mc="http://schemas.openxmlformats.org/markup-compatibility/2006">
      <mc:Choice Requires="x14">
        <control shapeId="25606" r:id="rId32" name="CheckBox6">
          <controlPr defaultSize="0" autoFill="0" autoLine="0" r:id="rId5">
            <anchor moveWithCells="1">
              <from>
                <xdr:col>1</xdr:col>
                <xdr:colOff>88900</xdr:colOff>
                <xdr:row>10</xdr:row>
                <xdr:rowOff>76200</xdr:rowOff>
              </from>
              <to>
                <xdr:col>1</xdr:col>
                <xdr:colOff>254000</xdr:colOff>
                <xdr:row>10</xdr:row>
                <xdr:rowOff>247650</xdr:rowOff>
              </to>
            </anchor>
          </controlPr>
        </control>
      </mc:Choice>
      <mc:Fallback>
        <control shapeId="25606" r:id="rId32" name="CheckBox6"/>
      </mc:Fallback>
    </mc:AlternateContent>
    <mc:AlternateContent xmlns:mc="http://schemas.openxmlformats.org/markup-compatibility/2006">
      <mc:Choice Requires="x14">
        <control shapeId="25605" r:id="rId33" name="CheckBox5">
          <controlPr defaultSize="0" autoFill="0" autoLine="0" r:id="rId16">
            <anchor moveWithCells="1">
              <from>
                <xdr:col>1</xdr:col>
                <xdr:colOff>88900</xdr:colOff>
                <xdr:row>9</xdr:row>
                <xdr:rowOff>69850</xdr:rowOff>
              </from>
              <to>
                <xdr:col>1</xdr:col>
                <xdr:colOff>254000</xdr:colOff>
                <xdr:row>9</xdr:row>
                <xdr:rowOff>241300</xdr:rowOff>
              </to>
            </anchor>
          </controlPr>
        </control>
      </mc:Choice>
      <mc:Fallback>
        <control shapeId="25605" r:id="rId33" name="CheckBox5"/>
      </mc:Fallback>
    </mc:AlternateContent>
    <mc:AlternateContent xmlns:mc="http://schemas.openxmlformats.org/markup-compatibility/2006">
      <mc:Choice Requires="x14">
        <control shapeId="25604" r:id="rId34" name="CheckBox4">
          <controlPr defaultSize="0" autoFill="0" autoLine="0" r:id="rId16">
            <anchor moveWithCells="1">
              <from>
                <xdr:col>1</xdr:col>
                <xdr:colOff>88900</xdr:colOff>
                <xdr:row>8</xdr:row>
                <xdr:rowOff>69850</xdr:rowOff>
              </from>
              <to>
                <xdr:col>1</xdr:col>
                <xdr:colOff>254000</xdr:colOff>
                <xdr:row>8</xdr:row>
                <xdr:rowOff>241300</xdr:rowOff>
              </to>
            </anchor>
          </controlPr>
        </control>
      </mc:Choice>
      <mc:Fallback>
        <control shapeId="25604" r:id="rId34" name="CheckBox4"/>
      </mc:Fallback>
    </mc:AlternateContent>
    <mc:AlternateContent xmlns:mc="http://schemas.openxmlformats.org/markup-compatibility/2006">
      <mc:Choice Requires="x14">
        <control shapeId="25603" r:id="rId35" name="CheckBox3">
          <controlPr defaultSize="0" autoFill="0" autoLine="0" r:id="rId5">
            <anchor moveWithCells="1">
              <from>
                <xdr:col>1</xdr:col>
                <xdr:colOff>88900</xdr:colOff>
                <xdr:row>7</xdr:row>
                <xdr:rowOff>69850</xdr:rowOff>
              </from>
              <to>
                <xdr:col>1</xdr:col>
                <xdr:colOff>254000</xdr:colOff>
                <xdr:row>7</xdr:row>
                <xdr:rowOff>241300</xdr:rowOff>
              </to>
            </anchor>
          </controlPr>
        </control>
      </mc:Choice>
      <mc:Fallback>
        <control shapeId="25603" r:id="rId35" name="CheckBox3"/>
      </mc:Fallback>
    </mc:AlternateContent>
    <mc:AlternateContent xmlns:mc="http://schemas.openxmlformats.org/markup-compatibility/2006">
      <mc:Choice Requires="x14">
        <control shapeId="25602" r:id="rId36" name="CheckBox2">
          <controlPr defaultSize="0" autoFill="0" autoLine="0" r:id="rId5">
            <anchor moveWithCells="1">
              <from>
                <xdr:col>1</xdr:col>
                <xdr:colOff>88900</xdr:colOff>
                <xdr:row>6</xdr:row>
                <xdr:rowOff>69850</xdr:rowOff>
              </from>
              <to>
                <xdr:col>1</xdr:col>
                <xdr:colOff>254000</xdr:colOff>
                <xdr:row>6</xdr:row>
                <xdr:rowOff>241300</xdr:rowOff>
              </to>
            </anchor>
          </controlPr>
        </control>
      </mc:Choice>
      <mc:Fallback>
        <control shapeId="25602" r:id="rId36" name="CheckBox2"/>
      </mc:Fallback>
    </mc:AlternateContent>
    <mc:AlternateContent xmlns:mc="http://schemas.openxmlformats.org/markup-compatibility/2006">
      <mc:Choice Requires="x14">
        <control shapeId="25601" r:id="rId37" name="CheckBox1">
          <controlPr defaultSize="0" autoFill="0" autoLine="0" r:id="rId16">
            <anchor moveWithCells="1">
              <from>
                <xdr:col>1</xdr:col>
                <xdr:colOff>88900</xdr:colOff>
                <xdr:row>5</xdr:row>
                <xdr:rowOff>69850</xdr:rowOff>
              </from>
              <to>
                <xdr:col>1</xdr:col>
                <xdr:colOff>254000</xdr:colOff>
                <xdr:row>5</xdr:row>
                <xdr:rowOff>241300</xdr:rowOff>
              </to>
            </anchor>
          </controlPr>
        </control>
      </mc:Choice>
      <mc:Fallback>
        <control shapeId="25601" r:id="rId37" name="CheckBox1"/>
      </mc:Fallback>
    </mc:AlternateContent>
    <mc:AlternateContent xmlns:mc="http://schemas.openxmlformats.org/markup-compatibility/2006">
      <mc:Choice Requires="x14">
        <control shapeId="25711" r:id="rId38" name="CheckBox109">
          <controlPr defaultSize="0" autoFill="0" autoLine="0" r:id="rId5">
            <anchor moveWithCells="1">
              <from>
                <xdr:col>1</xdr:col>
                <xdr:colOff>88900</xdr:colOff>
                <xdr:row>11</xdr:row>
                <xdr:rowOff>76200</xdr:rowOff>
              </from>
              <to>
                <xdr:col>1</xdr:col>
                <xdr:colOff>254000</xdr:colOff>
                <xdr:row>11</xdr:row>
                <xdr:rowOff>247650</xdr:rowOff>
              </to>
            </anchor>
          </controlPr>
        </control>
      </mc:Choice>
      <mc:Fallback>
        <control shapeId="25711" r:id="rId38" name="CheckBox109"/>
      </mc:Fallback>
    </mc:AlternateContent>
    <mc:AlternateContent xmlns:mc="http://schemas.openxmlformats.org/markup-compatibility/2006">
      <mc:Choice Requires="x14">
        <control shapeId="25712" r:id="rId39" name="CheckBox110">
          <controlPr defaultSize="0" autoFill="0" autoLine="0" r:id="rId5">
            <anchor moveWithCells="1">
              <from>
                <xdr:col>2</xdr:col>
                <xdr:colOff>88900</xdr:colOff>
                <xdr:row>11</xdr:row>
                <xdr:rowOff>76200</xdr:rowOff>
              </from>
              <to>
                <xdr:col>2</xdr:col>
                <xdr:colOff>254000</xdr:colOff>
                <xdr:row>11</xdr:row>
                <xdr:rowOff>247650</xdr:rowOff>
              </to>
            </anchor>
          </controlPr>
        </control>
      </mc:Choice>
      <mc:Fallback>
        <control shapeId="25712" r:id="rId39" name="CheckBox110"/>
      </mc:Fallback>
    </mc:AlternateContent>
    <mc:AlternateContent xmlns:mc="http://schemas.openxmlformats.org/markup-compatibility/2006">
      <mc:Choice Requires="x14">
        <control shapeId="25740" r:id="rId40" name="CommandButton2">
          <controlPr defaultSize="0" print="0" autoLine="0" r:id="rId41">
            <anchor moveWithCells="1">
              <from>
                <xdr:col>2</xdr:col>
                <xdr:colOff>2438400</xdr:colOff>
                <xdr:row>2</xdr:row>
                <xdr:rowOff>88900</xdr:rowOff>
              </from>
              <to>
                <xdr:col>2</xdr:col>
                <xdr:colOff>2749550</xdr:colOff>
                <xdr:row>2</xdr:row>
                <xdr:rowOff>400050</xdr:rowOff>
              </to>
            </anchor>
          </controlPr>
        </control>
      </mc:Choice>
      <mc:Fallback>
        <control shapeId="25740" r:id="rId40" name="CommandButton2"/>
      </mc:Fallback>
    </mc:AlternateContent>
    <mc:AlternateContent xmlns:mc="http://schemas.openxmlformats.org/markup-compatibility/2006">
      <mc:Choice Requires="x14">
        <control shapeId="25723" r:id="rId42" name="Drop Down 123">
          <controlPr defaultSize="0" autoLine="0" autoPict="0">
            <anchor moveWithCells="1">
              <from>
                <xdr:col>1</xdr:col>
                <xdr:colOff>1631950</xdr:colOff>
                <xdr:row>5</xdr:row>
                <xdr:rowOff>57150</xdr:rowOff>
              </from>
              <to>
                <xdr:col>1</xdr:col>
                <xdr:colOff>2819400</xdr:colOff>
                <xdr:row>5</xdr:row>
                <xdr:rowOff>266700</xdr:rowOff>
              </to>
            </anchor>
          </controlPr>
        </control>
      </mc:Choice>
    </mc:AlternateContent>
    <mc:AlternateContent xmlns:mc="http://schemas.openxmlformats.org/markup-compatibility/2006">
      <mc:Choice Requires="x14">
        <control shapeId="25727" r:id="rId43" name="Drop Down 127">
          <controlPr defaultSize="0" autoLine="0" autoPict="0">
            <anchor moveWithCells="1">
              <from>
                <xdr:col>2</xdr:col>
                <xdr:colOff>1631950</xdr:colOff>
                <xdr:row>5</xdr:row>
                <xdr:rowOff>57150</xdr:rowOff>
              </from>
              <to>
                <xdr:col>2</xdr:col>
                <xdr:colOff>2819400</xdr:colOff>
                <xdr:row>5</xdr:row>
                <xdr:rowOff>266700</xdr:rowOff>
              </to>
            </anchor>
          </controlPr>
        </control>
      </mc:Choice>
    </mc:AlternateContent>
    <mc:AlternateContent xmlns:mc="http://schemas.openxmlformats.org/markup-compatibility/2006">
      <mc:Choice Requires="x14">
        <control shapeId="25736" r:id="rId44" name="Drop Down 136">
          <controlPr defaultSize="0" autoLine="0" autoPict="0">
            <anchor moveWithCells="1">
              <from>
                <xdr:col>1</xdr:col>
                <xdr:colOff>1631950</xdr:colOff>
                <xdr:row>6</xdr:row>
                <xdr:rowOff>57150</xdr:rowOff>
              </from>
              <to>
                <xdr:col>1</xdr:col>
                <xdr:colOff>2819400</xdr:colOff>
                <xdr:row>6</xdr:row>
                <xdr:rowOff>266700</xdr:rowOff>
              </to>
            </anchor>
          </controlPr>
        </control>
      </mc:Choice>
    </mc:AlternateContent>
    <mc:AlternateContent xmlns:mc="http://schemas.openxmlformats.org/markup-compatibility/2006">
      <mc:Choice Requires="x14">
        <control shapeId="25737" r:id="rId45" name="Drop Down 137">
          <controlPr defaultSize="0" autoLine="0" autoPict="0">
            <anchor moveWithCells="1">
              <from>
                <xdr:col>2</xdr:col>
                <xdr:colOff>1631950</xdr:colOff>
                <xdr:row>6</xdr:row>
                <xdr:rowOff>57150</xdr:rowOff>
              </from>
              <to>
                <xdr:col>2</xdr:col>
                <xdr:colOff>2819400</xdr:colOff>
                <xdr:row>6</xdr:row>
                <xdr:rowOff>266700</xdr:rowOff>
              </to>
            </anchor>
          </controlPr>
        </control>
      </mc:Choice>
    </mc:AlternateContent>
    <mc:AlternateContent xmlns:mc="http://schemas.openxmlformats.org/markup-compatibility/2006">
      <mc:Choice Requires="x14">
        <control shapeId="25738" r:id="rId46" name="Drop Down 138">
          <controlPr defaultSize="0" autoLine="0" autoPict="0">
            <anchor moveWithCells="1">
              <from>
                <xdr:col>1</xdr:col>
                <xdr:colOff>1651000</xdr:colOff>
                <xdr:row>13</xdr:row>
                <xdr:rowOff>57150</xdr:rowOff>
              </from>
              <to>
                <xdr:col>1</xdr:col>
                <xdr:colOff>2838450</xdr:colOff>
                <xdr:row>13</xdr:row>
                <xdr:rowOff>266700</xdr:rowOff>
              </to>
            </anchor>
          </controlPr>
        </control>
      </mc:Choice>
    </mc:AlternateContent>
    <mc:AlternateContent xmlns:mc="http://schemas.openxmlformats.org/markup-compatibility/2006">
      <mc:Choice Requires="x14">
        <control shapeId="25739" r:id="rId47" name="Drop Down 139">
          <controlPr defaultSize="0" autoLine="0" autoPict="0">
            <anchor moveWithCells="1">
              <from>
                <xdr:col>2</xdr:col>
                <xdr:colOff>1631950</xdr:colOff>
                <xdr:row>13</xdr:row>
                <xdr:rowOff>57150</xdr:rowOff>
              </from>
              <to>
                <xdr:col>2</xdr:col>
                <xdr:colOff>2819400</xdr:colOff>
                <xdr:row>13</xdr:row>
                <xdr:rowOff>260350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Q123"/>
  <sheetViews>
    <sheetView workbookViewId="0">
      <pane xSplit="1" ySplit="1" topLeftCell="B2" activePane="bottomRight" state="frozen"/>
      <selection activeCell="G24" sqref="G24"/>
      <selection pane="topRight" activeCell="G24" sqref="G24"/>
      <selection pane="bottomLeft" activeCell="G24" sqref="G24"/>
      <selection pane="bottomRight" activeCell="G24" sqref="G24"/>
    </sheetView>
  </sheetViews>
  <sheetFormatPr defaultRowHeight="14.5" outlineLevelRow="1" x14ac:dyDescent="0.35"/>
  <cols>
    <col min="1" max="1" width="14.1796875" bestFit="1" customWidth="1"/>
    <col min="2" max="2" width="2.453125" style="9" customWidth="1"/>
    <col min="3" max="3" width="14.1796875" style="11" customWidth="1"/>
    <col min="4" max="4" width="12.26953125" style="11" customWidth="1"/>
    <col min="5" max="5" width="18.453125" style="11" customWidth="1"/>
    <col min="6" max="7" width="12.26953125" style="11" customWidth="1"/>
    <col min="8" max="8" width="14" style="11" customWidth="1"/>
    <col min="9" max="9" width="2.453125" style="9" customWidth="1"/>
    <col min="10" max="14" width="8.453125" style="11" bestFit="1" customWidth="1"/>
    <col min="15" max="16" width="12.54296875" style="11" customWidth="1"/>
    <col min="17" max="17" width="2.54296875" style="9" customWidth="1"/>
    <col min="18" max="24" width="11.453125" style="17" customWidth="1"/>
    <col min="25" max="25" width="3" style="9" customWidth="1"/>
    <col min="26" max="26" width="15.1796875" style="17" bestFit="1" customWidth="1"/>
    <col min="27" max="30" width="13.54296875" style="17" customWidth="1"/>
    <col min="31" max="31" width="3.1796875" style="9" customWidth="1"/>
    <col min="32" max="34" width="10.26953125" style="17" customWidth="1"/>
    <col min="35" max="35" width="3.453125" style="9" customWidth="1"/>
    <col min="36" max="43" width="10.54296875" style="17" customWidth="1"/>
  </cols>
  <sheetData>
    <row r="1" spans="1:43" s="3" customFormat="1" x14ac:dyDescent="0.35">
      <c r="A1" s="60"/>
      <c r="B1" s="9"/>
      <c r="C1" s="10" t="s">
        <v>5</v>
      </c>
      <c r="D1" s="10" t="s">
        <v>6</v>
      </c>
      <c r="E1" s="10" t="s">
        <v>8</v>
      </c>
      <c r="F1" s="10" t="s">
        <v>7</v>
      </c>
      <c r="G1" s="10" t="s">
        <v>9</v>
      </c>
      <c r="H1" s="349" t="s">
        <v>10</v>
      </c>
      <c r="I1" s="9"/>
      <c r="J1" s="10" t="s">
        <v>42</v>
      </c>
      <c r="K1" s="10" t="s">
        <v>43</v>
      </c>
      <c r="L1" s="10" t="s">
        <v>44</v>
      </c>
      <c r="M1" s="10" t="s">
        <v>45</v>
      </c>
      <c r="N1" s="10" t="s">
        <v>46</v>
      </c>
      <c r="O1" s="10" t="s">
        <v>47</v>
      </c>
      <c r="P1" s="10" t="s">
        <v>134</v>
      </c>
      <c r="Q1" s="9"/>
      <c r="R1" s="54" t="s">
        <v>16</v>
      </c>
      <c r="S1" s="54" t="s">
        <v>17</v>
      </c>
      <c r="T1" s="54" t="s">
        <v>18</v>
      </c>
      <c r="U1" s="54" t="s">
        <v>165</v>
      </c>
      <c r="V1" s="54" t="s">
        <v>19</v>
      </c>
      <c r="W1" s="54" t="s">
        <v>20</v>
      </c>
      <c r="X1" s="54" t="s">
        <v>21</v>
      </c>
      <c r="Y1" s="9"/>
      <c r="Z1" s="54" t="s">
        <v>22</v>
      </c>
      <c r="AA1" s="54" t="s">
        <v>23</v>
      </c>
      <c r="AB1" s="54" t="s">
        <v>205</v>
      </c>
      <c r="AC1" s="54" t="s">
        <v>48</v>
      </c>
      <c r="AD1" s="54" t="s">
        <v>374</v>
      </c>
      <c r="AE1" s="9"/>
      <c r="AF1" s="54" t="s">
        <v>49</v>
      </c>
      <c r="AG1" s="54" t="s">
        <v>377</v>
      </c>
      <c r="AH1" s="54" t="s">
        <v>376</v>
      </c>
      <c r="AI1" s="9"/>
      <c r="AJ1" s="54" t="s">
        <v>141</v>
      </c>
      <c r="AK1" s="54" t="s">
        <v>382</v>
      </c>
      <c r="AL1" s="54" t="s">
        <v>50</v>
      </c>
      <c r="AM1" s="54" t="s">
        <v>395</v>
      </c>
      <c r="AN1" s="54" t="s">
        <v>51</v>
      </c>
      <c r="AO1" s="54" t="s">
        <v>28</v>
      </c>
      <c r="AP1" s="54"/>
      <c r="AQ1" s="54"/>
    </row>
    <row r="2" spans="1:43" x14ac:dyDescent="0.35">
      <c r="A2" s="60"/>
    </row>
    <row r="3" spans="1:43" s="37" customFormat="1" x14ac:dyDescent="0.35">
      <c r="A3" s="35" t="s">
        <v>103</v>
      </c>
      <c r="B3" s="25"/>
      <c r="C3" s="36"/>
      <c r="D3" s="36">
        <f>INDEX(D32:D44,D9,1)</f>
        <v>0</v>
      </c>
      <c r="E3" s="36">
        <f>INDEX(E32:E44,E9,1)</f>
        <v>0</v>
      </c>
      <c r="F3" s="36">
        <f>INDEX(F32:F44,F9,1)</f>
        <v>0</v>
      </c>
      <c r="G3" s="36">
        <f>INDEX(G32:G44,G9,1)</f>
        <v>0</v>
      </c>
      <c r="H3" s="36">
        <f>INDEX(H32:H44,H9,1)</f>
        <v>0</v>
      </c>
      <c r="I3" s="25"/>
      <c r="J3" s="36"/>
      <c r="K3" s="36"/>
      <c r="L3" s="36"/>
      <c r="M3" s="36"/>
      <c r="N3" s="36"/>
      <c r="O3" s="36"/>
      <c r="P3" s="36">
        <f>INDEX(P32:P44,P9,1)</f>
        <v>0</v>
      </c>
      <c r="Q3" s="25"/>
      <c r="R3" s="36">
        <f t="shared" ref="R3:X3" si="0">INDEX(R32:R44,R9,1)</f>
        <v>0</v>
      </c>
      <c r="S3" s="36">
        <f t="shared" si="0"/>
        <v>0</v>
      </c>
      <c r="T3" s="36">
        <f t="shared" si="0"/>
        <v>0.38709677419354843</v>
      </c>
      <c r="U3" s="36">
        <f>U32</f>
        <v>0</v>
      </c>
      <c r="V3" s="36">
        <f t="shared" si="0"/>
        <v>0</v>
      </c>
      <c r="W3" s="36">
        <f t="shared" si="0"/>
        <v>0.125</v>
      </c>
      <c r="X3" s="36">
        <f t="shared" si="0"/>
        <v>0</v>
      </c>
      <c r="Y3" s="25"/>
      <c r="Z3" s="36">
        <f>INDEX(Z32:Z44,Z9,1)</f>
        <v>0</v>
      </c>
      <c r="AA3" s="36">
        <f>INDEX(AA32:AA44,AA9,1)</f>
        <v>0</v>
      </c>
      <c r="AB3" s="36">
        <f>INDEX(AB32:AB44,AB9,1)</f>
        <v>0</v>
      </c>
      <c r="AC3" s="36">
        <f>INDEX(AC32:AC44,AC9,1)</f>
        <v>0</v>
      </c>
      <c r="AD3" s="36">
        <f>INDEX(AD32:AD44,AD9,1)</f>
        <v>0</v>
      </c>
      <c r="AE3" s="25"/>
      <c r="AF3" s="36">
        <f>INDEX(AF32:AF44,AF9,1)</f>
        <v>0</v>
      </c>
      <c r="AG3" s="36">
        <f>INDEX(AG32:AG44,AG9,1)</f>
        <v>0</v>
      </c>
      <c r="AH3" s="36">
        <f>INDEX(AH32:AH44,AH9,1)</f>
        <v>0</v>
      </c>
      <c r="AI3" s="25"/>
      <c r="AJ3" s="36">
        <f>INDEX(AJ32:AJ44,AJ9,1)</f>
        <v>0.59499999999999997</v>
      </c>
      <c r="AK3" s="36">
        <f>INDEX(AK32:AK44,AK9,1)</f>
        <v>0</v>
      </c>
      <c r="AL3" s="36">
        <f t="shared" ref="AL3:AQ3" si="1">INDEX(AL32:AL44,AL9,1)</f>
        <v>0</v>
      </c>
      <c r="AM3" s="36">
        <f t="shared" si="1"/>
        <v>0</v>
      </c>
      <c r="AN3" s="36">
        <f t="shared" si="1"/>
        <v>0</v>
      </c>
      <c r="AO3" s="36">
        <f t="shared" si="1"/>
        <v>0</v>
      </c>
      <c r="AP3" s="36">
        <f t="shared" si="1"/>
        <v>0</v>
      </c>
      <c r="AQ3" s="36">
        <f t="shared" si="1"/>
        <v>0</v>
      </c>
    </row>
    <row r="4" spans="1:43" s="27" customFormat="1" x14ac:dyDescent="0.35">
      <c r="A4" s="24" t="s">
        <v>104</v>
      </c>
      <c r="B4" s="25"/>
      <c r="C4" s="26">
        <f>HLOOKUP(INDEX(C10:C24,C9,1),Sheet3!C1:Q7,C25*2,FALSE)</f>
        <v>98.18</v>
      </c>
      <c r="D4" s="26">
        <f>INDEX(D46:D57,D9,1)</f>
        <v>0</v>
      </c>
      <c r="E4" s="26">
        <f>INDEX(E46:E57,E9,1)</f>
        <v>3.2</v>
      </c>
      <c r="F4" s="26">
        <f>INDEX(F46:F57,F9,1)</f>
        <v>0</v>
      </c>
      <c r="G4" s="26">
        <f>INDEX(G46:G57,G9,1)</f>
        <v>17</v>
      </c>
      <c r="H4" s="26">
        <f>INDEX(H46:H57,H9,1)</f>
        <v>0</v>
      </c>
      <c r="I4" s="25"/>
      <c r="J4" s="26">
        <f t="shared" ref="J4:O4" si="2">J9*J46</f>
        <v>8</v>
      </c>
      <c r="K4" s="26">
        <f t="shared" si="2"/>
        <v>0</v>
      </c>
      <c r="L4" s="26">
        <f t="shared" si="2"/>
        <v>0</v>
      </c>
      <c r="M4" s="26">
        <f t="shared" si="2"/>
        <v>0</v>
      </c>
      <c r="N4" s="26">
        <f t="shared" si="2"/>
        <v>0</v>
      </c>
      <c r="O4" s="26">
        <f t="shared" si="2"/>
        <v>0</v>
      </c>
      <c r="P4" s="26">
        <f>INDEX(P46:P57,P9,1)</f>
        <v>0</v>
      </c>
      <c r="Q4" s="25"/>
      <c r="R4" s="26">
        <f t="shared" ref="R4:X4" si="3">INDEX(R46:R57,R9,1)</f>
        <v>0</v>
      </c>
      <c r="S4" s="26">
        <f t="shared" si="3"/>
        <v>0</v>
      </c>
      <c r="T4" s="26">
        <f t="shared" si="3"/>
        <v>2</v>
      </c>
      <c r="U4" s="26">
        <f>U46</f>
        <v>0</v>
      </c>
      <c r="V4" s="26">
        <f t="shared" si="3"/>
        <v>0</v>
      </c>
      <c r="W4" s="26">
        <f t="shared" si="3"/>
        <v>0</v>
      </c>
      <c r="X4" s="26">
        <f t="shared" si="3"/>
        <v>0</v>
      </c>
      <c r="Y4" s="25"/>
      <c r="Z4" s="26">
        <f>INDEX(Z46:Z57,Z9,1)</f>
        <v>0</v>
      </c>
      <c r="AA4" s="26">
        <f>INDEX(AA46:AA57,AA9,1)</f>
        <v>0.5</v>
      </c>
      <c r="AB4" s="26">
        <f>INDEX(AB46:AB57,AB9,1)</f>
        <v>0</v>
      </c>
      <c r="AC4" s="26">
        <f>INDEX(AC46:AC57,AC9,1)</f>
        <v>0</v>
      </c>
      <c r="AD4" s="26">
        <f>INDEX(AD46:AD57,AD9,1)</f>
        <v>0</v>
      </c>
      <c r="AE4" s="25"/>
      <c r="AF4" s="26">
        <f>INDEX(AF46:AF57,AF9,1)</f>
        <v>0</v>
      </c>
      <c r="AG4" s="26">
        <f>INDEX(AG46:AG57,AG9,1)</f>
        <v>0</v>
      </c>
      <c r="AH4" s="26">
        <f>INDEX(AH46:AH57,AH9,1)</f>
        <v>0</v>
      </c>
      <c r="AI4" s="25"/>
      <c r="AJ4" s="26">
        <f>INDEX(AJ46:AJ57,AJ9,1)</f>
        <v>0</v>
      </c>
      <c r="AK4" s="26">
        <f>INDEX(AK46:AK57,AK9,1)</f>
        <v>0</v>
      </c>
      <c r="AL4" s="26">
        <f t="shared" ref="AL4:AQ4" si="4">INDEX(AL46:AL57,AL9,1)</f>
        <v>0</v>
      </c>
      <c r="AM4" s="26">
        <f t="shared" si="4"/>
        <v>0</v>
      </c>
      <c r="AN4" s="26">
        <f t="shared" si="4"/>
        <v>0</v>
      </c>
      <c r="AO4" s="26">
        <f t="shared" si="4"/>
        <v>0</v>
      </c>
      <c r="AP4" s="26">
        <f t="shared" si="4"/>
        <v>0</v>
      </c>
      <c r="AQ4" s="26">
        <f t="shared" si="4"/>
        <v>0</v>
      </c>
    </row>
    <row r="5" spans="1:43" s="27" customFormat="1" x14ac:dyDescent="0.35">
      <c r="A5" s="24" t="s">
        <v>139</v>
      </c>
      <c r="B5" s="25"/>
      <c r="C5" s="26"/>
      <c r="D5" s="26">
        <f>INDEX(D59:D70,D9,1)</f>
        <v>0</v>
      </c>
      <c r="E5" s="26">
        <f>INDEX(E59:E70,E9,1)</f>
        <v>0</v>
      </c>
      <c r="F5" s="26">
        <f>INDEX(F59:F70,F9,1)</f>
        <v>0</v>
      </c>
      <c r="G5" s="26">
        <f>INDEX(G59:G70,G9,1)</f>
        <v>0</v>
      </c>
      <c r="H5" s="26">
        <f>INDEX(H59:H70,H9,1)</f>
        <v>0</v>
      </c>
      <c r="I5" s="25"/>
      <c r="J5" s="26">
        <f>J59</f>
        <v>24</v>
      </c>
      <c r="K5" s="26">
        <f t="shared" ref="K5:O5" si="5">K59</f>
        <v>0</v>
      </c>
      <c r="L5" s="26">
        <f t="shared" si="5"/>
        <v>0</v>
      </c>
      <c r="M5" s="26">
        <f t="shared" si="5"/>
        <v>0</v>
      </c>
      <c r="N5" s="26">
        <f t="shared" si="5"/>
        <v>0</v>
      </c>
      <c r="O5" s="26">
        <f t="shared" si="5"/>
        <v>0</v>
      </c>
      <c r="P5" s="26">
        <f>INDEX(P59:P70,P9,1)</f>
        <v>0</v>
      </c>
      <c r="Q5" s="25"/>
      <c r="R5" s="26">
        <f t="shared" ref="R5:X5" si="6">INDEX(R59:R70,R9,1)</f>
        <v>0</v>
      </c>
      <c r="S5" s="26">
        <f t="shared" si="6"/>
        <v>0</v>
      </c>
      <c r="T5" s="26">
        <f t="shared" si="6"/>
        <v>0</v>
      </c>
      <c r="U5" s="26">
        <f>U59</f>
        <v>0</v>
      </c>
      <c r="V5" s="26">
        <f t="shared" si="6"/>
        <v>0</v>
      </c>
      <c r="W5" s="26">
        <f t="shared" si="6"/>
        <v>2</v>
      </c>
      <c r="X5" s="26">
        <f t="shared" si="6"/>
        <v>0</v>
      </c>
      <c r="Y5" s="25"/>
      <c r="Z5" s="26">
        <f>INDEX(Z59:Z70,Z9,1)</f>
        <v>0</v>
      </c>
      <c r="AA5" s="26">
        <f>INDEX(AA59:AA70,AA9,1)</f>
        <v>0</v>
      </c>
      <c r="AB5" s="26">
        <f>INDEX(AB59:AB70,AB9,1)</f>
        <v>0</v>
      </c>
      <c r="AC5" s="26">
        <f>INDEX(AC59:AC70,AC9,1)</f>
        <v>0</v>
      </c>
      <c r="AD5" s="26">
        <f>INDEX(AD59:AD70,AD9,1)</f>
        <v>0</v>
      </c>
      <c r="AE5" s="25"/>
      <c r="AF5" s="26">
        <f>INDEX(AF59:AF70,AF9,1)</f>
        <v>0</v>
      </c>
      <c r="AG5" s="26">
        <f>INDEX(AG59:AG70,AG9,1)</f>
        <v>0</v>
      </c>
      <c r="AH5" s="26">
        <f>INDEX(AH59:AH70,AH9,1)</f>
        <v>0</v>
      </c>
      <c r="AI5" s="25"/>
      <c r="AJ5" s="26">
        <f>INDEX(AJ59:AJ70,AJ9,1)</f>
        <v>0</v>
      </c>
      <c r="AK5" s="26">
        <f>INDEX(AK59:AK70,AK9,1)</f>
        <v>0</v>
      </c>
      <c r="AL5" s="26">
        <f t="shared" ref="AL5:AQ5" si="7">INDEX(AL59:AL70,AL9,1)</f>
        <v>0</v>
      </c>
      <c r="AM5" s="26">
        <f t="shared" si="7"/>
        <v>0</v>
      </c>
      <c r="AN5" s="26">
        <f t="shared" si="7"/>
        <v>0</v>
      </c>
      <c r="AO5" s="26">
        <f t="shared" si="7"/>
        <v>0</v>
      </c>
      <c r="AP5" s="26">
        <f t="shared" si="7"/>
        <v>0</v>
      </c>
      <c r="AQ5" s="26">
        <f t="shared" si="7"/>
        <v>0</v>
      </c>
    </row>
    <row r="6" spans="1:43" s="27" customFormat="1" x14ac:dyDescent="0.35">
      <c r="A6" s="24" t="s">
        <v>105</v>
      </c>
      <c r="B6" s="25"/>
      <c r="C6" s="26">
        <f>HLOOKUP(INDEX(C10:C24,C9,1),Sheet3!C1:Q7,C25*2+1,FALSE)</f>
        <v>366.05</v>
      </c>
      <c r="D6" s="26">
        <f>INDEX(D72:D83,D9,1)</f>
        <v>0</v>
      </c>
      <c r="E6" s="26">
        <f>INDEX(E72:E83,E9,1)</f>
        <v>0</v>
      </c>
      <c r="F6" s="26">
        <f>INDEX(F72:F83,F9,1)</f>
        <v>0</v>
      </c>
      <c r="G6" s="26">
        <f>INDEX(G72:G83,G9,1)</f>
        <v>0</v>
      </c>
      <c r="H6" s="26">
        <f>INDEX(H72:H83,H9,1)</f>
        <v>0</v>
      </c>
      <c r="I6" s="25"/>
      <c r="J6" s="26"/>
      <c r="K6" s="26"/>
      <c r="L6" s="26"/>
      <c r="M6" s="26"/>
      <c r="N6" s="26"/>
      <c r="O6" s="26">
        <f>O72</f>
        <v>0</v>
      </c>
      <c r="P6" s="26">
        <f>INDEX(P72:P83,P9,1)</f>
        <v>0</v>
      </c>
      <c r="Q6" s="25"/>
      <c r="R6" s="26">
        <f t="shared" ref="R6:X6" si="8">INDEX(R72:R83,R9,1)</f>
        <v>0</v>
      </c>
      <c r="S6" s="26">
        <f t="shared" si="8"/>
        <v>0</v>
      </c>
      <c r="T6" s="26">
        <f t="shared" si="8"/>
        <v>5</v>
      </c>
      <c r="U6" s="26">
        <f>U72</f>
        <v>0</v>
      </c>
      <c r="V6" s="26">
        <f t="shared" si="8"/>
        <v>0</v>
      </c>
      <c r="W6" s="26">
        <f t="shared" si="8"/>
        <v>5</v>
      </c>
      <c r="X6" s="26">
        <f t="shared" si="8"/>
        <v>0</v>
      </c>
      <c r="Y6" s="25"/>
      <c r="Z6" s="26">
        <f>INDEX(Z72:Z83,Z9,1)</f>
        <v>0</v>
      </c>
      <c r="AA6" s="26">
        <f>INDEX(AA72:AA83,AA9,1)</f>
        <v>10</v>
      </c>
      <c r="AB6" s="26">
        <f>INDEX(AB72:AB83,AB9,1)</f>
        <v>0</v>
      </c>
      <c r="AC6" s="26">
        <f>INDEX(AC72:AC83,AC9,1)</f>
        <v>0</v>
      </c>
      <c r="AD6" s="26">
        <f>INDEX(AD72:AD83,AD9,1)</f>
        <v>0</v>
      </c>
      <c r="AE6" s="25"/>
      <c r="AF6" s="26">
        <f>INDEX(AF72:AF83,AF9,1)</f>
        <v>0</v>
      </c>
      <c r="AG6" s="26">
        <f>INDEX(AG72:AG83,AG9,1)</f>
        <v>0</v>
      </c>
      <c r="AH6" s="26">
        <f>INDEX(AH72:AH83,AH9,1)</f>
        <v>0</v>
      </c>
      <c r="AI6" s="25"/>
      <c r="AJ6" s="26">
        <f>INDEX(AJ72:AJ83,AJ9,1)</f>
        <v>0</v>
      </c>
      <c r="AK6" s="26">
        <f>INDEX(AK72:AK83,AK9,1)</f>
        <v>0</v>
      </c>
      <c r="AL6" s="26">
        <f t="shared" ref="AL6:AQ6" si="9">INDEX(AL72:AL83,AL9,1)</f>
        <v>0</v>
      </c>
      <c r="AM6" s="26">
        <f t="shared" si="9"/>
        <v>0</v>
      </c>
      <c r="AN6" s="26">
        <f t="shared" si="9"/>
        <v>0</v>
      </c>
      <c r="AO6" s="26">
        <f t="shared" si="9"/>
        <v>0</v>
      </c>
      <c r="AP6" s="26">
        <f t="shared" si="9"/>
        <v>0</v>
      </c>
      <c r="AQ6" s="26">
        <f t="shared" si="9"/>
        <v>0</v>
      </c>
    </row>
    <row r="7" spans="1:43" s="31" customFormat="1" x14ac:dyDescent="0.35">
      <c r="A7" s="28" t="s">
        <v>4</v>
      </c>
      <c r="B7" s="29"/>
      <c r="C7" s="191">
        <f>HLOOKUP(INDEX(C10:C24,C9,1),Sheet3!C1:Q9,9,FALSE)/CHOOSE(Quote!B9,Arrays_per_panel,ups)</f>
        <v>0.02</v>
      </c>
      <c r="D7" s="30">
        <f>INDEX(D85:D96,D9,1)</f>
        <v>0</v>
      </c>
      <c r="E7" s="30">
        <f>INDEX(E85:E96,E9,1)</f>
        <v>0</v>
      </c>
      <c r="F7" s="30">
        <f>INDEX(F85:F96,F9,1)</f>
        <v>0</v>
      </c>
      <c r="G7" s="30">
        <f>INDEX(G85:G96,G9,1)</f>
        <v>0</v>
      </c>
      <c r="H7" s="30">
        <f>INDEX(H85:H96,H9,1)</f>
        <v>0</v>
      </c>
      <c r="I7" s="29"/>
      <c r="J7" s="30"/>
      <c r="K7" s="30"/>
      <c r="L7" s="30"/>
      <c r="M7" s="30"/>
      <c r="N7" s="30"/>
      <c r="O7" s="30">
        <f>O85*O9</f>
        <v>0</v>
      </c>
      <c r="P7" s="30">
        <f>INDEX(P85:P96,P9,1)</f>
        <v>0</v>
      </c>
      <c r="Q7" s="29"/>
      <c r="R7" s="30">
        <f t="shared" ref="R7:X7" si="10">INDEX(R85:R96,R9,1)</f>
        <v>0</v>
      </c>
      <c r="S7" s="30">
        <f t="shared" si="10"/>
        <v>0</v>
      </c>
      <c r="T7" s="30">
        <f t="shared" si="10"/>
        <v>0</v>
      </c>
      <c r="U7" s="30">
        <f>U85</f>
        <v>0</v>
      </c>
      <c r="V7" s="30">
        <f t="shared" si="10"/>
        <v>0</v>
      </c>
      <c r="W7" s="30">
        <f t="shared" si="10"/>
        <v>0</v>
      </c>
      <c r="X7" s="30">
        <f t="shared" si="10"/>
        <v>0</v>
      </c>
      <c r="Y7" s="29"/>
      <c r="Z7" s="30">
        <f>INDEX(Z85:Z96,Z9,1)</f>
        <v>0</v>
      </c>
      <c r="AA7" s="30">
        <f>INDEX(AA85:AA96,AA9,1)</f>
        <v>0</v>
      </c>
      <c r="AB7" s="30">
        <f>INDEX(AB85:AB96,AB9,1)</f>
        <v>0</v>
      </c>
      <c r="AC7" s="30">
        <f>INDEX(AC85:AC96,AC9,1)</f>
        <v>0</v>
      </c>
      <c r="AD7" s="30">
        <f>INDEX(AD85:AD96,AD9,1)</f>
        <v>0</v>
      </c>
      <c r="AE7" s="29"/>
      <c r="AF7" s="30">
        <f>INDEX(AF85:AF96,AF9,1)</f>
        <v>0</v>
      </c>
      <c r="AG7" s="30">
        <f>INDEX(AG85:AG96,AG9,1)</f>
        <v>0</v>
      </c>
      <c r="AH7" s="30">
        <f>INDEX(AH85:AH96,AH9,1)</f>
        <v>0</v>
      </c>
      <c r="AI7" s="29"/>
      <c r="AJ7" s="30">
        <f>INDEX(AJ85:AJ96,AJ9,1)</f>
        <v>0</v>
      </c>
      <c r="AK7" s="30">
        <f>INDEX(AK85:AK96,AK9,1)</f>
        <v>0</v>
      </c>
      <c r="AL7" s="30">
        <f t="shared" ref="AL7:AQ7" si="11">INDEX(AL85:AL96,AL9,1)</f>
        <v>0</v>
      </c>
      <c r="AM7" s="30">
        <f t="shared" si="11"/>
        <v>0</v>
      </c>
      <c r="AN7" s="30">
        <f t="shared" si="11"/>
        <v>0</v>
      </c>
      <c r="AO7" s="30">
        <f t="shared" si="11"/>
        <v>0</v>
      </c>
      <c r="AP7" s="30">
        <f t="shared" si="11"/>
        <v>0</v>
      </c>
      <c r="AQ7" s="30">
        <f t="shared" si="11"/>
        <v>0</v>
      </c>
    </row>
    <row r="8" spans="1:43" s="34" customFormat="1" x14ac:dyDescent="0.35">
      <c r="A8" s="32" t="s">
        <v>3</v>
      </c>
      <c r="B8" s="25"/>
      <c r="C8" s="33">
        <f>HLOOKUP(INDEX(C10:C24,C9,1),Sheet3!C1:Q10,10,FALSE)</f>
        <v>220</v>
      </c>
      <c r="D8" s="33">
        <f>INDEX(D98:D109,D9,1)</f>
        <v>0</v>
      </c>
      <c r="E8" s="33">
        <f>INDEX(E98:E109,E9,1)</f>
        <v>0</v>
      </c>
      <c r="F8" s="33">
        <f>INDEX(F98:F109,F9,1)</f>
        <v>0</v>
      </c>
      <c r="G8" s="33">
        <f>INDEX(G98:G109,G9,1)</f>
        <v>0</v>
      </c>
      <c r="H8" s="33">
        <f>INDEX(H98:H109,H9,1)</f>
        <v>0</v>
      </c>
      <c r="I8" s="25"/>
      <c r="J8" s="33"/>
      <c r="K8" s="33"/>
      <c r="L8" s="33"/>
      <c r="M8" s="33"/>
      <c r="N8" s="33"/>
      <c r="O8" s="33"/>
      <c r="P8" s="33">
        <f>INDEX(P98:P109,P9,1)</f>
        <v>0</v>
      </c>
      <c r="Q8" s="25"/>
      <c r="R8" s="33">
        <f t="shared" ref="R8:X8" si="12">INDEX(R98:R109,R9,1)</f>
        <v>0</v>
      </c>
      <c r="S8" s="33">
        <f t="shared" si="12"/>
        <v>0</v>
      </c>
      <c r="T8" s="33">
        <f t="shared" si="12"/>
        <v>10</v>
      </c>
      <c r="U8" s="33">
        <f>U98</f>
        <v>0</v>
      </c>
      <c r="V8" s="33">
        <f t="shared" si="12"/>
        <v>0</v>
      </c>
      <c r="W8" s="33">
        <f t="shared" si="12"/>
        <v>10</v>
      </c>
      <c r="X8" s="33">
        <f t="shared" si="12"/>
        <v>0</v>
      </c>
      <c r="Y8" s="25"/>
      <c r="Z8" s="33">
        <f>INDEX(Z98:Z109,Z9,1)</f>
        <v>20</v>
      </c>
      <c r="AA8" s="33">
        <f>INDEX(AA98:AA109,AA9,1)</f>
        <v>10</v>
      </c>
      <c r="AB8" s="33">
        <f>INDEX(AB98:AB109,AB9,1)</f>
        <v>0</v>
      </c>
      <c r="AC8" s="33">
        <f>INDEX(AC98:AC109,AC9,1)</f>
        <v>0</v>
      </c>
      <c r="AD8" s="33">
        <f>INDEX(AD98:AD109,AD9,1)</f>
        <v>0</v>
      </c>
      <c r="AE8" s="25"/>
      <c r="AF8" s="33">
        <f>INDEX(AF98:AF109,AF9,1)</f>
        <v>0</v>
      </c>
      <c r="AG8" s="33">
        <f>INDEX(AG98:AG109,AG9,1)</f>
        <v>0</v>
      </c>
      <c r="AH8" s="33">
        <f>INDEX(AH98:AH109,AH9,1)</f>
        <v>0</v>
      </c>
      <c r="AI8" s="25"/>
      <c r="AJ8" s="33">
        <f>INDEX(AJ98:AJ109,AJ9,1)</f>
        <v>110</v>
      </c>
      <c r="AK8" s="33">
        <f>INDEX(AK98:AK109,AK9,1)</f>
        <v>0</v>
      </c>
      <c r="AL8" s="33">
        <f t="shared" ref="AL8:AQ8" si="13">INDEX(AL98:AL109,AL9,1)</f>
        <v>0</v>
      </c>
      <c r="AM8" s="33">
        <f t="shared" si="13"/>
        <v>0</v>
      </c>
      <c r="AN8" s="33">
        <f t="shared" si="13"/>
        <v>0</v>
      </c>
      <c r="AO8" s="33">
        <f t="shared" si="13"/>
        <v>0</v>
      </c>
      <c r="AP8" s="33">
        <f t="shared" si="13"/>
        <v>0</v>
      </c>
      <c r="AQ8" s="33">
        <f t="shared" si="13"/>
        <v>0</v>
      </c>
    </row>
    <row r="9" spans="1:43" s="38" customFormat="1" x14ac:dyDescent="0.35">
      <c r="A9" s="38" t="s">
        <v>133</v>
      </c>
      <c r="B9" s="18"/>
      <c r="C9" s="39">
        <f>Quote!B20</f>
        <v>6</v>
      </c>
      <c r="D9" s="39">
        <f>Quote!B21</f>
        <v>1</v>
      </c>
      <c r="E9" s="39">
        <f>Quote!B22</f>
        <v>2</v>
      </c>
      <c r="F9" s="39">
        <f>Quote!B23</f>
        <v>2</v>
      </c>
      <c r="G9" s="39">
        <f>Quote!B24</f>
        <v>2</v>
      </c>
      <c r="H9" s="39">
        <f>Quote!B25</f>
        <v>1</v>
      </c>
      <c r="I9" s="18"/>
      <c r="J9" s="39">
        <f>Quote!B28</f>
        <v>2</v>
      </c>
      <c r="K9" s="39">
        <f>Quote!B29</f>
        <v>0</v>
      </c>
      <c r="L9" s="39">
        <f>Quote!B30</f>
        <v>0</v>
      </c>
      <c r="M9" s="39">
        <f>Quote!B31</f>
        <v>0</v>
      </c>
      <c r="N9" s="39">
        <f>Quote!B32</f>
        <v>0</v>
      </c>
      <c r="O9" s="39">
        <f>Quote!B33</f>
        <v>0</v>
      </c>
      <c r="P9" s="39">
        <f>Quote!B34</f>
        <v>1</v>
      </c>
      <c r="Q9" s="18"/>
      <c r="R9" s="39">
        <f>Quote!B37</f>
        <v>1</v>
      </c>
      <c r="S9" s="39">
        <f>Quote!B38</f>
        <v>1</v>
      </c>
      <c r="T9" s="39">
        <f>Quote!B39</f>
        <v>6</v>
      </c>
      <c r="U9" s="39">
        <f>Quote!$B$40</f>
        <v>0</v>
      </c>
      <c r="V9" s="39">
        <f>Quote!B41</f>
        <v>1</v>
      </c>
      <c r="W9" s="39">
        <f>Quote!B42</f>
        <v>2</v>
      </c>
      <c r="X9" s="39">
        <f>Quote!B43</f>
        <v>1</v>
      </c>
      <c r="Y9" s="18"/>
      <c r="Z9" s="39">
        <f>Quote!B46</f>
        <v>1</v>
      </c>
      <c r="AA9" s="39">
        <f>Quote!B47</f>
        <v>2</v>
      </c>
      <c r="AB9" s="39">
        <f>Quote!B48</f>
        <v>1</v>
      </c>
      <c r="AC9" s="39">
        <f>Quote!B49</f>
        <v>1</v>
      </c>
      <c r="AD9" s="39">
        <f>Quote!B50</f>
        <v>1</v>
      </c>
      <c r="AE9" s="18"/>
      <c r="AF9" s="39">
        <f>Quote!B53</f>
        <v>1</v>
      </c>
      <c r="AG9" s="39">
        <f>Quote!B54</f>
        <v>1</v>
      </c>
      <c r="AH9" s="39">
        <f>Quote!C24</f>
        <v>1</v>
      </c>
      <c r="AI9" s="18"/>
      <c r="AJ9" s="39">
        <f>Quote!B58</f>
        <v>1</v>
      </c>
      <c r="AK9" s="39">
        <f>Quote!$B$59</f>
        <v>1</v>
      </c>
      <c r="AL9" s="39">
        <f>Quote!B60</f>
        <v>1</v>
      </c>
      <c r="AM9" s="39">
        <f>Quote!B61</f>
        <v>2</v>
      </c>
      <c r="AN9" s="39">
        <f>Quote!B62</f>
        <v>1</v>
      </c>
      <c r="AO9" s="39">
        <f>Quote!B63</f>
        <v>1</v>
      </c>
      <c r="AP9" s="39">
        <f>Quote!B64</f>
        <v>1</v>
      </c>
      <c r="AQ9" s="39">
        <f>Quote!B65</f>
        <v>1</v>
      </c>
    </row>
    <row r="10" spans="1:43" s="5" customFormat="1" outlineLevel="1" x14ac:dyDescent="0.35">
      <c r="A10" s="5" t="s">
        <v>142</v>
      </c>
      <c r="B10" s="9"/>
      <c r="C10" s="12" t="s">
        <v>52</v>
      </c>
      <c r="D10" s="12" t="s">
        <v>63</v>
      </c>
      <c r="E10" s="12" t="s">
        <v>309</v>
      </c>
      <c r="F10" s="12" t="s">
        <v>308</v>
      </c>
      <c r="G10" s="12" t="s">
        <v>73</v>
      </c>
      <c r="H10" s="12" t="s">
        <v>92</v>
      </c>
      <c r="I10" s="9"/>
      <c r="J10" s="12"/>
      <c r="K10" s="12"/>
      <c r="L10" s="12"/>
      <c r="M10" s="12"/>
      <c r="N10" s="12"/>
      <c r="O10" s="12"/>
      <c r="P10" s="12" t="s">
        <v>114</v>
      </c>
      <c r="Q10" s="9"/>
      <c r="R10" s="55" t="s">
        <v>106</v>
      </c>
      <c r="S10" s="55" t="s">
        <v>114</v>
      </c>
      <c r="T10" s="55" t="s">
        <v>114</v>
      </c>
      <c r="U10" s="55"/>
      <c r="V10" s="55" t="s">
        <v>114</v>
      </c>
      <c r="W10" s="55" t="s">
        <v>114</v>
      </c>
      <c r="X10" s="55" t="s">
        <v>114</v>
      </c>
      <c r="Y10" s="9"/>
      <c r="Z10" s="55" t="s">
        <v>82</v>
      </c>
      <c r="AA10" s="55" t="s">
        <v>92</v>
      </c>
      <c r="AB10" s="55" t="s">
        <v>114</v>
      </c>
      <c r="AC10" s="55" t="s">
        <v>114</v>
      </c>
      <c r="AD10" s="55" t="s">
        <v>114</v>
      </c>
      <c r="AE10" s="9"/>
      <c r="AF10" s="55" t="s">
        <v>114</v>
      </c>
      <c r="AG10" s="55" t="s">
        <v>114</v>
      </c>
      <c r="AH10" s="55" t="s">
        <v>413</v>
      </c>
      <c r="AI10" s="9"/>
      <c r="AJ10" s="55" t="s">
        <v>31</v>
      </c>
      <c r="AK10" s="55" t="s">
        <v>394</v>
      </c>
      <c r="AL10" s="55" t="s">
        <v>114</v>
      </c>
      <c r="AM10" s="55" t="s">
        <v>92</v>
      </c>
      <c r="AN10" s="55" t="s">
        <v>114</v>
      </c>
      <c r="AO10" s="55" t="s">
        <v>114</v>
      </c>
      <c r="AP10" s="55" t="s">
        <v>114</v>
      </c>
      <c r="AQ10" s="55" t="s">
        <v>114</v>
      </c>
    </row>
    <row r="11" spans="1:43" s="6" customFormat="1" outlineLevel="1" x14ac:dyDescent="0.35">
      <c r="A11" s="6" t="s">
        <v>128</v>
      </c>
      <c r="B11" s="9"/>
      <c r="C11" s="13" t="s">
        <v>159</v>
      </c>
      <c r="D11" s="14" t="s">
        <v>64</v>
      </c>
      <c r="E11" s="14" t="s">
        <v>310</v>
      </c>
      <c r="F11" s="14" t="s">
        <v>307</v>
      </c>
      <c r="G11" s="14" t="s">
        <v>74</v>
      </c>
      <c r="H11" s="14" t="s">
        <v>93</v>
      </c>
      <c r="I11" s="9"/>
      <c r="J11" s="14"/>
      <c r="K11" s="14"/>
      <c r="L11" s="14"/>
      <c r="M11" s="14"/>
      <c r="N11" s="14"/>
      <c r="O11" s="14"/>
      <c r="P11" s="14" t="s">
        <v>135</v>
      </c>
      <c r="Q11" s="9"/>
      <c r="R11" s="56" t="s">
        <v>107</v>
      </c>
      <c r="S11" s="56" t="s">
        <v>116</v>
      </c>
      <c r="T11" s="59">
        <v>0.1</v>
      </c>
      <c r="U11" s="59"/>
      <c r="V11" s="56" t="s">
        <v>118</v>
      </c>
      <c r="W11" s="56" t="s">
        <v>115</v>
      </c>
      <c r="X11" s="56" t="s">
        <v>115</v>
      </c>
      <c r="Y11" s="9"/>
      <c r="Z11" s="56" t="s">
        <v>83</v>
      </c>
      <c r="AA11" s="56" t="s">
        <v>85</v>
      </c>
      <c r="AB11" s="56" t="s">
        <v>115</v>
      </c>
      <c r="AC11" s="56" t="s">
        <v>122</v>
      </c>
      <c r="AD11" s="56" t="s">
        <v>167</v>
      </c>
      <c r="AE11" s="9"/>
      <c r="AF11" s="56" t="s">
        <v>115</v>
      </c>
      <c r="AG11" s="56" t="s">
        <v>378</v>
      </c>
      <c r="AH11" s="56" t="s">
        <v>414</v>
      </c>
      <c r="AI11" s="9"/>
      <c r="AJ11" s="56" t="s">
        <v>33</v>
      </c>
      <c r="AK11" s="56" t="s">
        <v>383</v>
      </c>
      <c r="AL11" s="56" t="s">
        <v>115</v>
      </c>
      <c r="AM11" s="56" t="s">
        <v>313</v>
      </c>
      <c r="AN11" s="56" t="s">
        <v>115</v>
      </c>
      <c r="AO11" s="56" t="s">
        <v>115</v>
      </c>
      <c r="AP11" s="56" t="s">
        <v>115</v>
      </c>
      <c r="AQ11" s="56" t="s">
        <v>115</v>
      </c>
    </row>
    <row r="12" spans="1:43" s="6" customFormat="1" outlineLevel="1" x14ac:dyDescent="0.35">
      <c r="A12" s="6" t="s">
        <v>1</v>
      </c>
      <c r="B12" s="9"/>
      <c r="C12" s="14" t="s">
        <v>53</v>
      </c>
      <c r="D12" s="14" t="s">
        <v>65</v>
      </c>
      <c r="E12" s="14" t="s">
        <v>311</v>
      </c>
      <c r="F12" s="14" t="s">
        <v>70</v>
      </c>
      <c r="G12" s="14" t="s">
        <v>75</v>
      </c>
      <c r="H12" s="14" t="s">
        <v>94</v>
      </c>
      <c r="I12" s="9"/>
      <c r="J12" s="14"/>
      <c r="K12" s="14"/>
      <c r="L12" s="14"/>
      <c r="M12" s="14"/>
      <c r="N12" s="14"/>
      <c r="O12" s="14"/>
      <c r="P12" s="14" t="s">
        <v>136</v>
      </c>
      <c r="Q12" s="9"/>
      <c r="R12" s="56" t="s">
        <v>108</v>
      </c>
      <c r="S12" s="56" t="s">
        <v>117</v>
      </c>
      <c r="T12" s="59">
        <v>9.2999999999999999E-2</v>
      </c>
      <c r="U12" s="59"/>
      <c r="V12" s="56" t="s">
        <v>119</v>
      </c>
      <c r="W12" s="56" t="s">
        <v>138</v>
      </c>
      <c r="X12" s="56"/>
      <c r="Y12" s="9"/>
      <c r="Z12" s="56" t="s">
        <v>84</v>
      </c>
      <c r="AA12" s="56" t="s">
        <v>86</v>
      </c>
      <c r="AB12" s="56"/>
      <c r="AC12" s="56" t="s">
        <v>123</v>
      </c>
      <c r="AD12" s="56" t="s">
        <v>366</v>
      </c>
      <c r="AE12" s="9"/>
      <c r="AF12" s="56"/>
      <c r="AG12" s="56" t="s">
        <v>379</v>
      </c>
      <c r="AH12" s="56" t="s">
        <v>415</v>
      </c>
      <c r="AI12" s="9"/>
      <c r="AJ12" s="56" t="s">
        <v>32</v>
      </c>
      <c r="AK12" s="56" t="s">
        <v>384</v>
      </c>
      <c r="AL12" s="56"/>
      <c r="AM12" s="56" t="s">
        <v>26</v>
      </c>
      <c r="AN12" s="56"/>
      <c r="AO12" s="56"/>
      <c r="AP12" s="56"/>
      <c r="AQ12" s="56"/>
    </row>
    <row r="13" spans="1:43" s="6" customFormat="1" outlineLevel="1" x14ac:dyDescent="0.35">
      <c r="B13" s="9"/>
      <c r="C13" s="13" t="s">
        <v>160</v>
      </c>
      <c r="D13" s="14" t="s">
        <v>419</v>
      </c>
      <c r="E13" s="14" t="s">
        <v>312</v>
      </c>
      <c r="F13" s="14" t="s">
        <v>71</v>
      </c>
      <c r="G13" s="14" t="s">
        <v>76</v>
      </c>
      <c r="H13" s="14" t="s">
        <v>95</v>
      </c>
      <c r="I13" s="9"/>
      <c r="J13" s="14"/>
      <c r="K13" s="14"/>
      <c r="L13" s="14"/>
      <c r="M13" s="14"/>
      <c r="N13" s="14"/>
      <c r="O13" s="14"/>
      <c r="P13" s="14" t="s">
        <v>137</v>
      </c>
      <c r="Q13" s="9"/>
      <c r="R13" s="56" t="s">
        <v>109</v>
      </c>
      <c r="S13" s="56"/>
      <c r="T13" s="59">
        <v>6.2E-2</v>
      </c>
      <c r="U13" s="59"/>
      <c r="V13" s="56" t="s">
        <v>120</v>
      </c>
      <c r="W13" s="56"/>
      <c r="X13" s="56"/>
      <c r="Y13" s="9"/>
      <c r="Z13" s="56" t="s">
        <v>85</v>
      </c>
      <c r="AA13" s="56" t="s">
        <v>90</v>
      </c>
      <c r="AB13" s="56"/>
      <c r="AC13" s="56"/>
      <c r="AD13" s="56" t="s">
        <v>367</v>
      </c>
      <c r="AE13" s="9"/>
      <c r="AF13" s="56"/>
      <c r="AG13" s="56" t="s">
        <v>380</v>
      </c>
      <c r="AH13" s="56"/>
      <c r="AI13" s="9"/>
      <c r="AJ13" s="56" t="s">
        <v>168</v>
      </c>
      <c r="AK13" s="56" t="s">
        <v>385</v>
      </c>
      <c r="AL13" s="56"/>
      <c r="AM13" s="56" t="s">
        <v>333</v>
      </c>
      <c r="AN13" s="56"/>
      <c r="AO13" s="56"/>
      <c r="AP13" s="56"/>
      <c r="AQ13" s="56"/>
    </row>
    <row r="14" spans="1:43" s="6" customFormat="1" outlineLevel="1" x14ac:dyDescent="0.35">
      <c r="B14" s="9"/>
      <c r="C14" s="13" t="s">
        <v>161</v>
      </c>
      <c r="D14" s="14"/>
      <c r="E14" s="14" t="s">
        <v>458</v>
      </c>
      <c r="F14" s="14" t="s">
        <v>72</v>
      </c>
      <c r="G14" s="14" t="s">
        <v>77</v>
      </c>
      <c r="H14" s="14" t="s">
        <v>96</v>
      </c>
      <c r="I14" s="9"/>
      <c r="J14" s="14"/>
      <c r="K14" s="14"/>
      <c r="L14" s="14"/>
      <c r="M14" s="14"/>
      <c r="N14" s="14"/>
      <c r="O14" s="14"/>
      <c r="P14" s="14"/>
      <c r="Q14" s="9"/>
      <c r="R14" s="56" t="s">
        <v>110</v>
      </c>
      <c r="S14" s="56"/>
      <c r="T14" s="59">
        <v>4.7E-2</v>
      </c>
      <c r="U14" s="59"/>
      <c r="V14" s="56" t="s">
        <v>121</v>
      </c>
      <c r="W14" s="56"/>
      <c r="X14" s="56"/>
      <c r="Y14" s="9"/>
      <c r="Z14" s="56" t="s">
        <v>86</v>
      </c>
      <c r="AA14" s="56" t="s">
        <v>84</v>
      </c>
      <c r="AB14" s="56"/>
      <c r="AC14" s="56"/>
      <c r="AD14" s="56" t="s">
        <v>368</v>
      </c>
      <c r="AE14" s="9"/>
      <c r="AF14" s="56"/>
      <c r="AG14" s="56" t="s">
        <v>381</v>
      </c>
      <c r="AH14" s="56"/>
      <c r="AI14" s="9"/>
      <c r="AJ14" s="56" t="s">
        <v>92</v>
      </c>
      <c r="AK14" s="56" t="s">
        <v>391</v>
      </c>
      <c r="AL14" s="56"/>
      <c r="AM14" s="56"/>
      <c r="AN14" s="56"/>
      <c r="AO14" s="56"/>
      <c r="AP14" s="56"/>
      <c r="AQ14" s="56"/>
    </row>
    <row r="15" spans="1:43" s="6" customFormat="1" outlineLevel="1" x14ac:dyDescent="0.35">
      <c r="B15" s="9"/>
      <c r="C15" s="14" t="s">
        <v>55</v>
      </c>
      <c r="D15" s="14"/>
      <c r="E15" s="14" t="s">
        <v>132</v>
      </c>
      <c r="F15" s="14"/>
      <c r="G15" s="14" t="s">
        <v>78</v>
      </c>
      <c r="H15" s="14" t="s">
        <v>97</v>
      </c>
      <c r="I15" s="9"/>
      <c r="J15" s="14"/>
      <c r="K15" s="14"/>
      <c r="L15" s="14"/>
      <c r="M15" s="14"/>
      <c r="N15" s="14"/>
      <c r="O15" s="14"/>
      <c r="P15" s="14"/>
      <c r="Q15" s="9"/>
      <c r="R15" s="56" t="s">
        <v>111</v>
      </c>
      <c r="S15" s="56"/>
      <c r="T15" s="59">
        <v>3.1E-2</v>
      </c>
      <c r="U15" s="59"/>
      <c r="V15" s="56"/>
      <c r="W15" s="56"/>
      <c r="X15" s="56"/>
      <c r="Y15" s="9"/>
      <c r="Z15" s="56" t="s">
        <v>87</v>
      </c>
      <c r="AA15" s="56"/>
      <c r="AB15" s="56"/>
      <c r="AC15" s="56"/>
      <c r="AD15" s="56" t="s">
        <v>369</v>
      </c>
      <c r="AE15" s="9"/>
      <c r="AF15" s="56"/>
      <c r="AG15" s="56"/>
      <c r="AH15" s="56"/>
      <c r="AI15" s="9"/>
      <c r="AJ15" s="56"/>
      <c r="AK15" s="56" t="s">
        <v>392</v>
      </c>
      <c r="AL15" s="56"/>
      <c r="AM15" s="56"/>
      <c r="AN15" s="56"/>
      <c r="AO15" s="56"/>
      <c r="AP15" s="56"/>
      <c r="AQ15" s="56"/>
    </row>
    <row r="16" spans="1:43" s="6" customFormat="1" outlineLevel="1" x14ac:dyDescent="0.35">
      <c r="B16" s="9"/>
      <c r="C16" s="13" t="s">
        <v>162</v>
      </c>
      <c r="D16" s="14"/>
      <c r="E16" s="14" t="s">
        <v>66</v>
      </c>
      <c r="F16" s="14"/>
      <c r="G16" s="14" t="s">
        <v>79</v>
      </c>
      <c r="H16" s="14" t="s">
        <v>98</v>
      </c>
      <c r="I16" s="9"/>
      <c r="J16" s="14"/>
      <c r="K16" s="14"/>
      <c r="L16" s="14"/>
      <c r="M16" s="14"/>
      <c r="N16" s="14"/>
      <c r="O16" s="14"/>
      <c r="P16" s="14"/>
      <c r="Q16" s="9"/>
      <c r="R16" s="56" t="s">
        <v>112</v>
      </c>
      <c r="S16" s="56"/>
      <c r="T16" s="59">
        <v>2.1999999999999999E-2</v>
      </c>
      <c r="U16" s="59"/>
      <c r="V16" s="56"/>
      <c r="W16" s="56"/>
      <c r="X16" s="56"/>
      <c r="Y16" s="9"/>
      <c r="Z16" s="56" t="s">
        <v>88</v>
      </c>
      <c r="AA16" s="56"/>
      <c r="AB16" s="56"/>
      <c r="AC16" s="56"/>
      <c r="AD16" s="56" t="s">
        <v>370</v>
      </c>
      <c r="AE16" s="9"/>
      <c r="AF16" s="56"/>
      <c r="AG16" s="56"/>
      <c r="AH16" s="56"/>
      <c r="AI16" s="9"/>
      <c r="AJ16" s="56"/>
      <c r="AK16" s="56"/>
      <c r="AL16" s="56"/>
      <c r="AM16" s="56"/>
      <c r="AN16" s="56"/>
      <c r="AO16" s="56"/>
      <c r="AP16" s="56"/>
      <c r="AQ16" s="56"/>
    </row>
    <row r="17" spans="1:43" s="6" customFormat="1" outlineLevel="1" x14ac:dyDescent="0.35">
      <c r="B17" s="9"/>
      <c r="C17" s="14" t="s">
        <v>54</v>
      </c>
      <c r="D17" s="14"/>
      <c r="E17" s="14" t="s">
        <v>67</v>
      </c>
      <c r="F17" s="14"/>
      <c r="G17" s="14" t="s">
        <v>80</v>
      </c>
      <c r="H17" s="14" t="s">
        <v>99</v>
      </c>
      <c r="I17" s="9"/>
      <c r="J17" s="14"/>
      <c r="K17" s="14"/>
      <c r="L17" s="14"/>
      <c r="M17" s="14"/>
      <c r="N17" s="14"/>
      <c r="O17" s="14"/>
      <c r="P17" s="14"/>
      <c r="Q17" s="9"/>
      <c r="R17" s="56" t="s">
        <v>113</v>
      </c>
      <c r="S17" s="56"/>
      <c r="T17" s="59">
        <v>1.7999999999999999E-2</v>
      </c>
      <c r="U17" s="59"/>
      <c r="V17" s="56"/>
      <c r="W17" s="56"/>
      <c r="X17" s="56"/>
      <c r="Y17" s="9"/>
      <c r="Z17" s="56" t="s">
        <v>89</v>
      </c>
      <c r="AA17" s="56"/>
      <c r="AB17" s="56"/>
      <c r="AC17" s="56"/>
      <c r="AD17" s="56" t="s">
        <v>372</v>
      </c>
      <c r="AE17" s="9"/>
      <c r="AF17" s="56"/>
      <c r="AG17" s="56"/>
      <c r="AH17" s="56"/>
      <c r="AI17" s="9"/>
      <c r="AJ17" s="56"/>
      <c r="AK17" s="56"/>
      <c r="AL17" s="56"/>
      <c r="AM17" s="56"/>
      <c r="AN17" s="56"/>
      <c r="AO17" s="56"/>
      <c r="AP17" s="56"/>
      <c r="AQ17" s="56"/>
    </row>
    <row r="18" spans="1:43" s="6" customFormat="1" outlineLevel="1" x14ac:dyDescent="0.35">
      <c r="B18" s="9"/>
      <c r="C18" s="14" t="s">
        <v>56</v>
      </c>
      <c r="D18" s="14"/>
      <c r="E18" s="14" t="s">
        <v>68</v>
      </c>
      <c r="F18" s="14"/>
      <c r="G18" s="14" t="s">
        <v>81</v>
      </c>
      <c r="H18" s="14" t="s">
        <v>100</v>
      </c>
      <c r="I18" s="9"/>
      <c r="J18" s="14"/>
      <c r="K18" s="14"/>
      <c r="L18" s="14"/>
      <c r="M18" s="14"/>
      <c r="N18" s="14"/>
      <c r="O18" s="14"/>
      <c r="P18" s="14"/>
      <c r="Q18" s="9"/>
      <c r="R18" s="56" t="s">
        <v>438</v>
      </c>
      <c r="S18" s="56"/>
      <c r="T18" s="56"/>
      <c r="U18" s="56"/>
      <c r="V18" s="56"/>
      <c r="W18" s="56"/>
      <c r="X18" s="56"/>
      <c r="Y18" s="9"/>
      <c r="Z18" s="56" t="s">
        <v>90</v>
      </c>
      <c r="AA18" s="56"/>
      <c r="AB18" s="56"/>
      <c r="AC18" s="56"/>
      <c r="AD18" s="56" t="s">
        <v>371</v>
      </c>
      <c r="AE18" s="9"/>
      <c r="AF18" s="56"/>
      <c r="AG18" s="56"/>
      <c r="AH18" s="56"/>
      <c r="AI18" s="9"/>
      <c r="AJ18" s="56"/>
      <c r="AK18" s="56"/>
      <c r="AL18" s="56"/>
      <c r="AM18" s="56"/>
      <c r="AN18" s="56"/>
      <c r="AO18" s="56"/>
      <c r="AP18" s="56"/>
      <c r="AQ18" s="56"/>
    </row>
    <row r="19" spans="1:43" s="6" customFormat="1" outlineLevel="1" x14ac:dyDescent="0.35">
      <c r="B19" s="9"/>
      <c r="C19" s="14" t="s">
        <v>57</v>
      </c>
      <c r="D19" s="14"/>
      <c r="E19" s="14" t="s">
        <v>69</v>
      </c>
      <c r="F19" s="14"/>
      <c r="G19" s="14"/>
      <c r="H19" s="14" t="s">
        <v>101</v>
      </c>
      <c r="I19" s="9"/>
      <c r="J19" s="14"/>
      <c r="K19" s="14"/>
      <c r="L19" s="14"/>
      <c r="M19" s="14"/>
      <c r="N19" s="14"/>
      <c r="O19" s="14"/>
      <c r="P19" s="14"/>
      <c r="Q19" s="9"/>
      <c r="R19" s="56"/>
      <c r="S19" s="56"/>
      <c r="T19" s="56"/>
      <c r="U19" s="56"/>
      <c r="V19" s="56"/>
      <c r="W19" s="56"/>
      <c r="X19" s="56"/>
      <c r="Y19" s="9"/>
      <c r="Z19" s="56" t="s">
        <v>92</v>
      </c>
      <c r="AA19" s="56"/>
      <c r="AB19" s="56"/>
      <c r="AC19" s="56"/>
      <c r="AD19" s="56" t="s">
        <v>373</v>
      </c>
      <c r="AE19" s="9"/>
      <c r="AF19" s="56"/>
      <c r="AG19" s="56"/>
      <c r="AH19" s="56"/>
      <c r="AI19" s="9"/>
      <c r="AJ19" s="56"/>
      <c r="AK19" s="56"/>
      <c r="AL19" s="56"/>
      <c r="AM19" s="56"/>
      <c r="AN19" s="56"/>
      <c r="AO19" s="56"/>
      <c r="AP19" s="56"/>
      <c r="AQ19" s="56"/>
    </row>
    <row r="20" spans="1:43" s="6" customFormat="1" outlineLevel="1" x14ac:dyDescent="0.35">
      <c r="B20" s="9"/>
      <c r="C20" s="14" t="s">
        <v>58</v>
      </c>
      <c r="D20" s="14"/>
      <c r="E20" s="14" t="s">
        <v>441</v>
      </c>
      <c r="F20" s="14"/>
      <c r="G20" s="14"/>
      <c r="H20" s="14" t="s">
        <v>102</v>
      </c>
      <c r="I20" s="9"/>
      <c r="J20" s="14"/>
      <c r="K20" s="14"/>
      <c r="L20" s="14"/>
      <c r="M20" s="14"/>
      <c r="N20" s="14"/>
      <c r="O20" s="14"/>
      <c r="P20" s="14"/>
      <c r="Q20" s="9"/>
      <c r="R20" s="56"/>
      <c r="S20" s="56"/>
      <c r="T20" s="56"/>
      <c r="U20" s="56"/>
      <c r="V20" s="56"/>
      <c r="W20" s="56"/>
      <c r="X20" s="56"/>
      <c r="Y20" s="9"/>
      <c r="Z20" s="56"/>
      <c r="AA20" s="56"/>
      <c r="AB20" s="56"/>
      <c r="AC20" s="56"/>
      <c r="AD20" s="56"/>
      <c r="AE20" s="9"/>
      <c r="AF20" s="56"/>
      <c r="AG20" s="56"/>
      <c r="AH20" s="56"/>
      <c r="AI20" s="9"/>
      <c r="AJ20" s="56"/>
      <c r="AK20" s="56"/>
      <c r="AL20" s="56"/>
      <c r="AM20" s="56"/>
      <c r="AN20" s="56"/>
      <c r="AO20" s="56"/>
      <c r="AP20" s="56"/>
      <c r="AQ20" s="56"/>
    </row>
    <row r="21" spans="1:43" s="6" customFormat="1" outlineLevel="1" x14ac:dyDescent="0.35">
      <c r="B21" s="9"/>
      <c r="C21" s="14" t="s">
        <v>59</v>
      </c>
      <c r="D21" s="14"/>
      <c r="E21" s="14"/>
      <c r="F21" s="14"/>
      <c r="G21" s="14"/>
      <c r="H21" s="14"/>
      <c r="I21" s="9"/>
      <c r="J21" s="14"/>
      <c r="K21" s="14"/>
      <c r="L21" s="14"/>
      <c r="M21" s="14"/>
      <c r="N21" s="14"/>
      <c r="O21" s="14"/>
      <c r="P21" s="14"/>
      <c r="Q21" s="9"/>
      <c r="R21" s="56"/>
      <c r="S21" s="56"/>
      <c r="T21" s="56"/>
      <c r="U21" s="56"/>
      <c r="V21" s="56"/>
      <c r="W21" s="56"/>
      <c r="X21" s="56"/>
      <c r="Y21" s="9"/>
      <c r="Z21" s="56"/>
      <c r="AA21" s="56"/>
      <c r="AB21" s="56"/>
      <c r="AC21" s="56"/>
      <c r="AD21" s="56"/>
      <c r="AE21" s="9"/>
      <c r="AF21" s="56"/>
      <c r="AG21" s="56"/>
      <c r="AH21" s="56"/>
      <c r="AI21" s="9"/>
      <c r="AJ21" s="56"/>
      <c r="AK21" s="56"/>
      <c r="AL21" s="56"/>
      <c r="AM21" s="56"/>
      <c r="AN21" s="56"/>
      <c r="AO21" s="56"/>
      <c r="AP21" s="56"/>
      <c r="AQ21" s="56"/>
    </row>
    <row r="22" spans="1:43" s="6" customFormat="1" outlineLevel="1" x14ac:dyDescent="0.35">
      <c r="B22" s="9"/>
      <c r="C22" s="14" t="s">
        <v>60</v>
      </c>
      <c r="D22" s="14"/>
      <c r="E22" s="14"/>
      <c r="F22" s="14"/>
      <c r="G22" s="14"/>
      <c r="H22" s="14"/>
      <c r="I22" s="9"/>
      <c r="J22" s="14"/>
      <c r="K22" s="14"/>
      <c r="L22" s="14"/>
      <c r="M22" s="14"/>
      <c r="N22" s="14"/>
      <c r="O22" s="14"/>
      <c r="P22" s="14"/>
      <c r="Q22" s="9"/>
      <c r="R22" s="56"/>
      <c r="S22" s="56"/>
      <c r="T22" s="56"/>
      <c r="U22" s="56"/>
      <c r="V22" s="56"/>
      <c r="W22" s="56"/>
      <c r="X22" s="56"/>
      <c r="Y22" s="9"/>
      <c r="Z22" s="56"/>
      <c r="AA22" s="56"/>
      <c r="AB22" s="56"/>
      <c r="AC22" s="56"/>
      <c r="AD22" s="56"/>
      <c r="AE22" s="9"/>
      <c r="AF22" s="56"/>
      <c r="AG22" s="56"/>
      <c r="AH22" s="56"/>
      <c r="AI22" s="9"/>
      <c r="AJ22" s="56"/>
      <c r="AK22" s="56"/>
      <c r="AL22" s="56"/>
      <c r="AM22" s="56"/>
      <c r="AN22" s="56"/>
      <c r="AO22" s="56"/>
      <c r="AP22" s="56"/>
      <c r="AQ22" s="56"/>
    </row>
    <row r="23" spans="1:43" s="6" customFormat="1" outlineLevel="1" x14ac:dyDescent="0.35">
      <c r="B23" s="9"/>
      <c r="C23" s="14" t="s">
        <v>61</v>
      </c>
      <c r="D23" s="14"/>
      <c r="E23" s="14"/>
      <c r="F23" s="14"/>
      <c r="G23" s="14"/>
      <c r="H23" s="14"/>
      <c r="I23" s="9"/>
      <c r="J23" s="14"/>
      <c r="K23" s="14"/>
      <c r="L23" s="14"/>
      <c r="M23" s="14"/>
      <c r="N23" s="14"/>
      <c r="O23" s="14"/>
      <c r="P23" s="14"/>
      <c r="Q23" s="9"/>
      <c r="R23" s="56"/>
      <c r="S23" s="56"/>
      <c r="T23" s="56"/>
      <c r="U23" s="56"/>
      <c r="V23" s="56"/>
      <c r="W23" s="56"/>
      <c r="X23" s="56"/>
      <c r="Y23" s="9"/>
      <c r="Z23" s="56"/>
      <c r="AA23" s="56"/>
      <c r="AB23" s="56"/>
      <c r="AC23" s="56"/>
      <c r="AD23" s="56"/>
      <c r="AE23" s="9"/>
      <c r="AF23" s="56"/>
      <c r="AG23" s="56"/>
      <c r="AH23" s="56"/>
      <c r="AI23" s="9"/>
      <c r="AJ23" s="56"/>
      <c r="AK23" s="56"/>
      <c r="AL23" s="56"/>
      <c r="AM23" s="56"/>
      <c r="AN23" s="56"/>
      <c r="AO23" s="56"/>
      <c r="AP23" s="56"/>
      <c r="AQ23" s="56"/>
    </row>
    <row r="24" spans="1:43" s="6" customFormat="1" outlineLevel="1" x14ac:dyDescent="0.35">
      <c r="B24" s="9"/>
      <c r="C24" s="14" t="s">
        <v>62</v>
      </c>
      <c r="D24" s="14"/>
      <c r="E24" s="14"/>
      <c r="F24" s="14"/>
      <c r="G24" s="14"/>
      <c r="H24" s="14"/>
      <c r="I24" s="9"/>
      <c r="J24" s="14"/>
      <c r="K24" s="14"/>
      <c r="L24" s="14"/>
      <c r="M24" s="14"/>
      <c r="N24" s="14"/>
      <c r="O24" s="14"/>
      <c r="P24" s="14"/>
      <c r="Q24" s="9"/>
      <c r="R24" s="56"/>
      <c r="S24" s="56"/>
      <c r="T24" s="56"/>
      <c r="U24" s="56"/>
      <c r="V24" s="56"/>
      <c r="W24" s="56"/>
      <c r="X24" s="56"/>
      <c r="Y24" s="9"/>
      <c r="Z24" s="56"/>
      <c r="AA24" s="56"/>
      <c r="AB24" s="56"/>
      <c r="AC24" s="56"/>
      <c r="AD24" s="56"/>
      <c r="AE24" s="9"/>
      <c r="AF24" s="56"/>
      <c r="AG24" s="56"/>
      <c r="AH24" s="56"/>
      <c r="AI24" s="9"/>
      <c r="AJ24" s="56"/>
      <c r="AK24" s="56"/>
      <c r="AL24" s="56"/>
      <c r="AM24" s="56"/>
      <c r="AN24" s="56"/>
      <c r="AO24" s="56"/>
      <c r="AP24" s="56"/>
      <c r="AQ24" s="56"/>
    </row>
    <row r="25" spans="1:43" s="40" customFormat="1" x14ac:dyDescent="0.35">
      <c r="A25" s="40" t="s">
        <v>124</v>
      </c>
      <c r="B25" s="23"/>
      <c r="C25" s="41">
        <f>Quote!D2</f>
        <v>2</v>
      </c>
      <c r="D25" s="41"/>
      <c r="E25" s="41"/>
      <c r="F25" s="41"/>
      <c r="G25" s="41"/>
      <c r="H25" s="41"/>
      <c r="I25" s="23"/>
      <c r="J25" s="41"/>
      <c r="K25" s="41"/>
      <c r="L25" s="41"/>
      <c r="M25" s="41"/>
      <c r="N25" s="41"/>
      <c r="O25" s="41"/>
      <c r="P25" s="41"/>
      <c r="Q25" s="23"/>
      <c r="R25" s="41">
        <f>Quote!C37</f>
        <v>0</v>
      </c>
      <c r="S25" s="41"/>
      <c r="T25" s="41">
        <f>Quote!C39</f>
        <v>12</v>
      </c>
      <c r="U25" s="41"/>
      <c r="V25" s="41"/>
      <c r="W25" s="41">
        <f>Quote!C42</f>
        <v>5</v>
      </c>
      <c r="X25" s="41"/>
      <c r="Y25" s="23"/>
      <c r="Z25" s="41">
        <f>Quote!C46</f>
        <v>2</v>
      </c>
      <c r="AA25" s="41">
        <f>Quote!C47</f>
        <v>2</v>
      </c>
      <c r="AB25" s="41"/>
      <c r="AC25" s="41"/>
      <c r="AD25" s="41"/>
      <c r="AE25" s="23"/>
      <c r="AF25" s="41"/>
      <c r="AG25" s="41"/>
      <c r="AH25" s="41"/>
      <c r="AI25" s="23"/>
      <c r="AJ25" s="41">
        <f>Quote!C58</f>
        <v>470</v>
      </c>
      <c r="AK25" s="41"/>
      <c r="AL25" s="41"/>
      <c r="AM25" s="41"/>
      <c r="AN25" s="41"/>
      <c r="AO25" s="41"/>
      <c r="AP25" s="41"/>
      <c r="AQ25" s="41"/>
    </row>
    <row r="26" spans="1:43" s="7" customFormat="1" outlineLevel="1" x14ac:dyDescent="0.35">
      <c r="A26" s="7" t="s">
        <v>124</v>
      </c>
      <c r="B26" s="9"/>
      <c r="C26" s="15" t="s">
        <v>63</v>
      </c>
      <c r="D26" s="15"/>
      <c r="E26" s="15"/>
      <c r="F26" s="15"/>
      <c r="G26" s="15"/>
      <c r="H26" s="15"/>
      <c r="I26" s="9"/>
      <c r="J26" s="15"/>
      <c r="K26" s="15"/>
      <c r="L26" s="15"/>
      <c r="M26" s="15"/>
      <c r="N26" s="15"/>
      <c r="O26" s="15"/>
      <c r="P26" s="15"/>
      <c r="Q26" s="9"/>
      <c r="R26" s="57"/>
      <c r="S26" s="57"/>
      <c r="T26" s="57"/>
      <c r="U26" s="57"/>
      <c r="V26" s="57"/>
      <c r="W26" s="57"/>
      <c r="X26" s="57"/>
      <c r="Y26" s="9"/>
      <c r="Z26" s="57" t="s">
        <v>125</v>
      </c>
      <c r="AA26" s="57" t="s">
        <v>92</v>
      </c>
      <c r="AB26" s="57"/>
      <c r="AC26" s="57"/>
      <c r="AD26" s="57"/>
      <c r="AE26" s="9"/>
      <c r="AF26" s="57"/>
      <c r="AG26" s="57"/>
      <c r="AH26" s="57"/>
      <c r="AI26" s="9"/>
      <c r="AJ26" s="57"/>
      <c r="AK26" s="57"/>
      <c r="AL26" s="57"/>
      <c r="AM26" s="57"/>
      <c r="AN26" s="57"/>
      <c r="AO26" s="57"/>
      <c r="AP26" s="57"/>
      <c r="AQ26" s="57"/>
    </row>
    <row r="27" spans="1:43" s="7" customFormat="1" outlineLevel="1" x14ac:dyDescent="0.35">
      <c r="B27" s="9"/>
      <c r="C27" s="15" t="s">
        <v>63</v>
      </c>
      <c r="D27" s="15"/>
      <c r="E27" s="15"/>
      <c r="F27" s="15"/>
      <c r="G27" s="15"/>
      <c r="H27" s="15"/>
      <c r="I27" s="9"/>
      <c r="J27" s="15"/>
      <c r="K27" s="15"/>
      <c r="L27" s="15"/>
      <c r="M27" s="15"/>
      <c r="N27" s="15"/>
      <c r="O27" s="15"/>
      <c r="P27" s="15"/>
      <c r="Q27" s="9"/>
      <c r="R27" s="57"/>
      <c r="S27" s="57"/>
      <c r="T27" s="57"/>
      <c r="U27" s="57"/>
      <c r="V27" s="57"/>
      <c r="W27" s="57"/>
      <c r="X27" s="57"/>
      <c r="Y27" s="9"/>
      <c r="Z27" s="57" t="s">
        <v>123</v>
      </c>
      <c r="AA27" s="57" t="s">
        <v>125</v>
      </c>
      <c r="AB27" s="57"/>
      <c r="AC27" s="57"/>
      <c r="AD27" s="57"/>
      <c r="AE27" s="9"/>
      <c r="AF27" s="57"/>
      <c r="AG27" s="57"/>
      <c r="AH27" s="57"/>
      <c r="AI27" s="9"/>
      <c r="AJ27" s="57"/>
      <c r="AK27" s="57"/>
      <c r="AL27" s="57"/>
      <c r="AM27" s="57"/>
      <c r="AN27" s="57"/>
      <c r="AO27" s="57"/>
      <c r="AP27" s="57"/>
      <c r="AQ27" s="57"/>
    </row>
    <row r="28" spans="1:43" s="7" customFormat="1" outlineLevel="1" x14ac:dyDescent="0.35">
      <c r="B28" s="9"/>
      <c r="C28" s="15" t="s">
        <v>262</v>
      </c>
      <c r="D28" s="15"/>
      <c r="E28" s="15"/>
      <c r="F28" s="15"/>
      <c r="G28" s="15"/>
      <c r="H28" s="15"/>
      <c r="I28" s="9"/>
      <c r="J28" s="15"/>
      <c r="K28" s="15"/>
      <c r="L28" s="15"/>
      <c r="M28" s="15"/>
      <c r="N28" s="15"/>
      <c r="O28" s="15"/>
      <c r="P28" s="15"/>
      <c r="Q28" s="9"/>
      <c r="R28" s="57"/>
      <c r="S28" s="57"/>
      <c r="T28" s="57"/>
      <c r="U28" s="57"/>
      <c r="V28" s="57"/>
      <c r="W28" s="57"/>
      <c r="X28" s="57"/>
      <c r="Y28" s="9"/>
      <c r="Z28" s="57" t="s">
        <v>126</v>
      </c>
      <c r="AA28" s="57" t="s">
        <v>123</v>
      </c>
      <c r="AB28" s="57"/>
      <c r="AC28" s="57"/>
      <c r="AD28" s="57"/>
      <c r="AE28" s="9"/>
      <c r="AF28" s="57"/>
      <c r="AG28" s="57"/>
      <c r="AH28" s="57"/>
      <c r="AI28" s="9"/>
      <c r="AJ28" s="57"/>
      <c r="AK28" s="57"/>
      <c r="AL28" s="57"/>
      <c r="AM28" s="57"/>
      <c r="AN28" s="57"/>
      <c r="AO28" s="57"/>
      <c r="AP28" s="57"/>
      <c r="AQ28" s="57"/>
    </row>
    <row r="29" spans="1:43" s="8" customFormat="1" outlineLevel="1" x14ac:dyDescent="0.35">
      <c r="B29" s="9"/>
      <c r="C29" s="16"/>
      <c r="D29" s="16"/>
      <c r="E29" s="16"/>
      <c r="F29" s="16"/>
      <c r="G29" s="16"/>
      <c r="H29" s="16"/>
      <c r="I29" s="9"/>
      <c r="J29" s="16"/>
      <c r="K29" s="16"/>
      <c r="L29" s="16"/>
      <c r="M29" s="16"/>
      <c r="N29" s="16"/>
      <c r="O29" s="16"/>
      <c r="P29" s="16"/>
      <c r="Q29" s="9"/>
      <c r="R29" s="58"/>
      <c r="S29" s="58"/>
      <c r="T29" s="58"/>
      <c r="U29" s="58"/>
      <c r="V29" s="58"/>
      <c r="W29" s="58"/>
      <c r="X29" s="58"/>
      <c r="Y29" s="9"/>
      <c r="Z29" s="58" t="s">
        <v>127</v>
      </c>
      <c r="AA29" s="58"/>
      <c r="AB29" s="58"/>
      <c r="AC29" s="58"/>
      <c r="AD29" s="58"/>
      <c r="AE29" s="9"/>
      <c r="AF29" s="58"/>
      <c r="AG29" s="58"/>
      <c r="AH29" s="58"/>
      <c r="AI29" s="9"/>
      <c r="AJ29" s="58"/>
      <c r="AK29" s="58"/>
      <c r="AL29" s="58"/>
      <c r="AM29" s="58"/>
      <c r="AN29" s="58"/>
      <c r="AO29" s="58"/>
      <c r="AP29" s="58"/>
      <c r="AQ29" s="58"/>
    </row>
    <row r="30" spans="1:43" outlineLevel="1" x14ac:dyDescent="0.35"/>
    <row r="31" spans="1:43" s="19" customFormat="1" x14ac:dyDescent="0.35">
      <c r="A31" s="19" t="s">
        <v>128</v>
      </c>
      <c r="B31" s="9"/>
      <c r="C31" s="21"/>
      <c r="D31" s="21"/>
      <c r="E31" s="21"/>
      <c r="F31" s="21"/>
      <c r="G31" s="21"/>
      <c r="H31" s="21"/>
      <c r="I31" s="9"/>
      <c r="J31" s="20"/>
      <c r="K31" s="20"/>
      <c r="L31" s="20"/>
      <c r="M31" s="20"/>
      <c r="N31" s="20"/>
      <c r="O31" s="21"/>
      <c r="P31" s="21"/>
      <c r="Q31" s="9"/>
      <c r="R31" s="21"/>
      <c r="S31" s="21"/>
      <c r="T31" s="21"/>
      <c r="U31" s="21"/>
      <c r="V31" s="21"/>
      <c r="W31" s="21"/>
      <c r="X31" s="21"/>
      <c r="Y31" s="9"/>
      <c r="Z31" s="21"/>
      <c r="AA31" s="43"/>
      <c r="AB31" s="43"/>
      <c r="AC31" s="43"/>
      <c r="AD31" s="21"/>
      <c r="AE31" s="9"/>
      <c r="AF31" s="43"/>
      <c r="AG31" s="21"/>
      <c r="AH31" s="21"/>
      <c r="AI31" s="9"/>
      <c r="AJ31" s="21"/>
      <c r="AK31" s="21"/>
      <c r="AL31" s="21"/>
      <c r="AM31" s="43"/>
      <c r="AN31" s="43"/>
      <c r="AO31" s="43"/>
      <c r="AP31" s="21"/>
      <c r="AQ31" s="21"/>
    </row>
    <row r="32" spans="1:43" s="45" customFormat="1" outlineLevel="1" x14ac:dyDescent="0.35">
      <c r="B32" s="25"/>
      <c r="C32" s="42"/>
      <c r="D32" s="42"/>
      <c r="E32" s="42"/>
      <c r="F32" s="42"/>
      <c r="G32" s="42">
        <v>0</v>
      </c>
      <c r="H32" s="42"/>
      <c r="I32" s="25"/>
      <c r="J32" s="42"/>
      <c r="K32" s="42"/>
      <c r="L32" s="42"/>
      <c r="M32" s="42"/>
      <c r="N32" s="42"/>
      <c r="O32" s="42"/>
      <c r="P32" s="42"/>
      <c r="Q32" s="25"/>
      <c r="R32" s="42">
        <v>0</v>
      </c>
      <c r="S32" s="42">
        <v>0</v>
      </c>
      <c r="T32" s="42">
        <v>0</v>
      </c>
      <c r="U32" s="42">
        <f>0.25*U9</f>
        <v>0</v>
      </c>
      <c r="V32" s="42">
        <v>0</v>
      </c>
      <c r="W32" s="42"/>
      <c r="X32" s="42"/>
      <c r="Y32" s="25"/>
      <c r="Z32" s="42"/>
      <c r="AA32" s="42"/>
      <c r="AB32" s="42"/>
      <c r="AC32" s="42"/>
      <c r="AD32" s="42"/>
      <c r="AE32" s="25"/>
      <c r="AF32" s="42"/>
      <c r="AG32" s="42">
        <v>0</v>
      </c>
      <c r="AH32" s="42">
        <v>0</v>
      </c>
      <c r="AI32" s="25"/>
      <c r="AJ32" s="42">
        <f>IF(AJ9=1,IF(Quote!B8="",Sheet2!AJ25*0.001+0.25,Sheet2!AJ25*0.001+(0.25*Arrays_per_panel)/ups),"")</f>
        <v>0.59499999999999997</v>
      </c>
      <c r="AK32" s="42"/>
      <c r="AL32" s="42"/>
      <c r="AM32" s="42"/>
      <c r="AN32" s="42">
        <v>0</v>
      </c>
      <c r="AO32" s="42"/>
      <c r="AP32" s="42"/>
      <c r="AQ32" s="42"/>
    </row>
    <row r="33" spans="1:43" s="45" customFormat="1" outlineLevel="1" x14ac:dyDescent="0.35">
      <c r="B33" s="25"/>
      <c r="C33" s="42"/>
      <c r="D33" s="42"/>
      <c r="E33" s="42"/>
      <c r="F33" s="42"/>
      <c r="G33" s="42">
        <v>0</v>
      </c>
      <c r="H33" s="42"/>
      <c r="I33" s="25"/>
      <c r="J33" s="42"/>
      <c r="K33" s="42"/>
      <c r="L33" s="42"/>
      <c r="M33" s="42"/>
      <c r="N33" s="42"/>
      <c r="O33" s="42"/>
      <c r="P33" s="42"/>
      <c r="Q33" s="25"/>
      <c r="R33" s="42">
        <v>0</v>
      </c>
      <c r="S33" s="42">
        <v>0.25</v>
      </c>
      <c r="T33" s="42">
        <f>$T$25/T11/1000</f>
        <v>0.12</v>
      </c>
      <c r="U33" s="42"/>
      <c r="V33" s="42">
        <v>0.1</v>
      </c>
      <c r="W33" s="42">
        <f>0.05*Arrays_per_panel*W25/ups</f>
        <v>0.125</v>
      </c>
      <c r="X33" s="42">
        <v>0.01</v>
      </c>
      <c r="Y33" s="25"/>
      <c r="Z33" s="42"/>
      <c r="AA33" s="42"/>
      <c r="AB33" s="42"/>
      <c r="AC33" s="42"/>
      <c r="AD33" s="42"/>
      <c r="AE33" s="25"/>
      <c r="AF33" s="42"/>
      <c r="AG33" s="42">
        <v>0</v>
      </c>
      <c r="AH33" s="42">
        <f>8*Arrays_per_panel/ups</f>
        <v>4</v>
      </c>
      <c r="AI33" s="25"/>
      <c r="AJ33" s="42"/>
      <c r="AK33" s="42"/>
      <c r="AL33" s="42"/>
      <c r="AM33" s="42"/>
      <c r="AN33" s="42">
        <v>0.25</v>
      </c>
      <c r="AO33" s="42"/>
      <c r="AP33" s="42"/>
      <c r="AQ33" s="42"/>
    </row>
    <row r="34" spans="1:43" s="45" customFormat="1" outlineLevel="1" x14ac:dyDescent="0.35">
      <c r="B34" s="25"/>
      <c r="C34" s="42"/>
      <c r="D34" s="42"/>
      <c r="E34" s="42"/>
      <c r="F34" s="42"/>
      <c r="G34" s="42">
        <v>0</v>
      </c>
      <c r="H34" s="42"/>
      <c r="I34" s="25"/>
      <c r="J34" s="42"/>
      <c r="K34" s="42"/>
      <c r="L34" s="42"/>
      <c r="M34" s="42"/>
      <c r="N34" s="42"/>
      <c r="O34" s="42"/>
      <c r="P34" s="42"/>
      <c r="Q34" s="25"/>
      <c r="R34" s="42">
        <v>0</v>
      </c>
      <c r="S34" s="42">
        <v>0.5</v>
      </c>
      <c r="T34" s="42">
        <f t="shared" ref="T34:T39" si="14">$T$25/T12/1000</f>
        <v>0.12903225806451613</v>
      </c>
      <c r="U34" s="42"/>
      <c r="V34" s="42">
        <v>0.2</v>
      </c>
      <c r="W34" s="42">
        <f>0.1*Arrays_per_panel*W25/ups</f>
        <v>0.25</v>
      </c>
      <c r="X34" s="42"/>
      <c r="Y34" s="25"/>
      <c r="Z34" s="42"/>
      <c r="AA34" s="42"/>
      <c r="AB34" s="42"/>
      <c r="AC34" s="42"/>
      <c r="AD34" s="42"/>
      <c r="AE34" s="25"/>
      <c r="AF34" s="42"/>
      <c r="AG34" s="42">
        <v>0.5</v>
      </c>
      <c r="AH34" s="42">
        <f>14*Arrays_per_panel/ups</f>
        <v>7</v>
      </c>
      <c r="AI34" s="25"/>
      <c r="AJ34" s="42"/>
      <c r="AK34" s="42"/>
      <c r="AL34" s="42"/>
      <c r="AM34" s="42"/>
      <c r="AN34" s="42"/>
      <c r="AO34" s="42"/>
      <c r="AP34" s="42"/>
      <c r="AQ34" s="42"/>
    </row>
    <row r="35" spans="1:43" s="45" customFormat="1" outlineLevel="1" x14ac:dyDescent="0.35">
      <c r="B35" s="25"/>
      <c r="C35" s="42"/>
      <c r="D35" s="42"/>
      <c r="E35" s="42"/>
      <c r="F35" s="42"/>
      <c r="G35" s="42">
        <v>0</v>
      </c>
      <c r="H35" s="42"/>
      <c r="I35" s="25"/>
      <c r="J35" s="42"/>
      <c r="K35" s="42"/>
      <c r="L35" s="42"/>
      <c r="M35" s="42"/>
      <c r="N35" s="42"/>
      <c r="O35" s="42"/>
      <c r="P35" s="42"/>
      <c r="Q35" s="25"/>
      <c r="R35" s="42">
        <v>0</v>
      </c>
      <c r="S35" s="42"/>
      <c r="T35" s="42">
        <f t="shared" si="14"/>
        <v>0.19354838709677422</v>
      </c>
      <c r="U35" s="42"/>
      <c r="V35" s="42">
        <v>0.3</v>
      </c>
      <c r="W35" s="42"/>
      <c r="X35" s="42"/>
      <c r="Y35" s="25"/>
      <c r="Z35" s="42"/>
      <c r="AA35" s="42"/>
      <c r="AB35" s="42"/>
      <c r="AC35" s="42"/>
      <c r="AD35" s="42"/>
      <c r="AE35" s="25"/>
      <c r="AF35" s="42"/>
      <c r="AG35" s="42">
        <v>0</v>
      </c>
      <c r="AH35" s="42"/>
      <c r="AI35" s="25"/>
      <c r="AJ35" s="42"/>
      <c r="AK35" s="42"/>
      <c r="AL35" s="42"/>
      <c r="AM35" s="42"/>
      <c r="AN35" s="42"/>
      <c r="AO35" s="42"/>
      <c r="AP35" s="42"/>
      <c r="AQ35" s="42"/>
    </row>
    <row r="36" spans="1:43" s="45" customFormat="1" outlineLevel="1" x14ac:dyDescent="0.35">
      <c r="B36" s="25"/>
      <c r="C36" s="42"/>
      <c r="D36" s="42"/>
      <c r="E36" s="42"/>
      <c r="F36" s="42"/>
      <c r="G36" s="42">
        <v>2</v>
      </c>
      <c r="H36" s="42"/>
      <c r="I36" s="25"/>
      <c r="J36" s="42"/>
      <c r="K36" s="42"/>
      <c r="L36" s="42"/>
      <c r="M36" s="42"/>
      <c r="N36" s="42"/>
      <c r="O36" s="42"/>
      <c r="P36" s="42"/>
      <c r="Q36" s="25"/>
      <c r="R36" s="42">
        <v>0</v>
      </c>
      <c r="S36" s="42"/>
      <c r="T36" s="42">
        <f t="shared" si="14"/>
        <v>0.25531914893617025</v>
      </c>
      <c r="U36" s="42"/>
      <c r="V36" s="42">
        <v>0.4</v>
      </c>
      <c r="W36" s="42"/>
      <c r="X36" s="42"/>
      <c r="Y36" s="25"/>
      <c r="Z36" s="42"/>
      <c r="AA36" s="42"/>
      <c r="AB36" s="42"/>
      <c r="AC36" s="42"/>
      <c r="AD36" s="42"/>
      <c r="AE36" s="25"/>
      <c r="AF36" s="42"/>
      <c r="AG36" s="42">
        <v>0.5</v>
      </c>
      <c r="AH36" s="42"/>
      <c r="AI36" s="25"/>
      <c r="AJ36" s="42"/>
      <c r="AK36" s="42"/>
      <c r="AL36" s="42"/>
      <c r="AM36" s="42"/>
      <c r="AN36" s="42"/>
      <c r="AO36" s="42"/>
      <c r="AP36" s="42"/>
      <c r="AQ36" s="42"/>
    </row>
    <row r="37" spans="1:43" s="45" customFormat="1" outlineLevel="1" x14ac:dyDescent="0.35">
      <c r="B37" s="25"/>
      <c r="C37" s="42"/>
      <c r="D37" s="42"/>
      <c r="E37" s="42"/>
      <c r="F37" s="42"/>
      <c r="G37" s="42">
        <v>3.5</v>
      </c>
      <c r="H37" s="42"/>
      <c r="I37" s="25"/>
      <c r="J37" s="42"/>
      <c r="K37" s="42"/>
      <c r="L37" s="42"/>
      <c r="M37" s="42"/>
      <c r="N37" s="42"/>
      <c r="O37" s="42"/>
      <c r="P37" s="42"/>
      <c r="Q37" s="25"/>
      <c r="R37" s="42">
        <v>0</v>
      </c>
      <c r="S37" s="42"/>
      <c r="T37" s="42">
        <f t="shared" si="14"/>
        <v>0.38709677419354843</v>
      </c>
      <c r="U37" s="42"/>
      <c r="V37" s="42"/>
      <c r="W37" s="42"/>
      <c r="X37" s="42"/>
      <c r="Y37" s="25"/>
      <c r="Z37" s="42"/>
      <c r="AA37" s="42"/>
      <c r="AB37" s="42"/>
      <c r="AC37" s="42"/>
      <c r="AD37" s="42"/>
      <c r="AE37" s="25"/>
      <c r="AF37" s="42"/>
      <c r="AG37" s="42"/>
      <c r="AH37" s="42"/>
      <c r="AI37" s="25"/>
      <c r="AJ37" s="42"/>
      <c r="AK37" s="42"/>
      <c r="AL37" s="42"/>
      <c r="AM37" s="42"/>
      <c r="AN37" s="42"/>
      <c r="AO37" s="42"/>
      <c r="AP37" s="42"/>
      <c r="AQ37" s="42"/>
    </row>
    <row r="38" spans="1:43" s="45" customFormat="1" outlineLevel="1" x14ac:dyDescent="0.35">
      <c r="B38" s="25"/>
      <c r="C38" s="42"/>
      <c r="D38" s="42"/>
      <c r="E38" s="42"/>
      <c r="F38" s="42"/>
      <c r="G38" s="42"/>
      <c r="H38" s="42"/>
      <c r="I38" s="25"/>
      <c r="J38" s="42"/>
      <c r="K38" s="42"/>
      <c r="L38" s="42"/>
      <c r="M38" s="42"/>
      <c r="N38" s="42"/>
      <c r="O38" s="42"/>
      <c r="P38" s="42"/>
      <c r="Q38" s="25"/>
      <c r="R38" s="42">
        <f>0.0005*R25</f>
        <v>0</v>
      </c>
      <c r="S38" s="42"/>
      <c r="T38" s="42">
        <f t="shared" si="14"/>
        <v>0.54545454545454553</v>
      </c>
      <c r="U38" s="42"/>
      <c r="V38" s="42"/>
      <c r="W38" s="42"/>
      <c r="X38" s="42"/>
      <c r="Y38" s="25"/>
      <c r="Z38" s="42"/>
      <c r="AA38" s="42"/>
      <c r="AB38" s="42"/>
      <c r="AC38" s="42"/>
      <c r="AD38" s="42"/>
      <c r="AE38" s="25"/>
      <c r="AF38" s="42"/>
      <c r="AG38" s="42"/>
      <c r="AH38" s="42"/>
      <c r="AI38" s="25"/>
      <c r="AJ38" s="42"/>
      <c r="AK38" s="42"/>
      <c r="AL38" s="42"/>
      <c r="AM38" s="42"/>
      <c r="AN38" s="42"/>
      <c r="AO38" s="42"/>
      <c r="AP38" s="42"/>
      <c r="AQ38" s="42"/>
    </row>
    <row r="39" spans="1:43" s="45" customFormat="1" outlineLevel="1" x14ac:dyDescent="0.35">
      <c r="B39" s="25"/>
      <c r="C39" s="42"/>
      <c r="D39" s="42"/>
      <c r="E39" s="42"/>
      <c r="F39" s="42"/>
      <c r="G39" s="42"/>
      <c r="H39" s="42"/>
      <c r="I39" s="25"/>
      <c r="J39" s="42"/>
      <c r="K39" s="42"/>
      <c r="L39" s="42"/>
      <c r="M39" s="42"/>
      <c r="N39" s="42"/>
      <c r="O39" s="42"/>
      <c r="P39" s="42"/>
      <c r="Q39" s="25"/>
      <c r="R39" s="42">
        <f>0.001*R25</f>
        <v>0</v>
      </c>
      <c r="S39" s="42"/>
      <c r="T39" s="42">
        <f t="shared" si="14"/>
        <v>0.66666666666666674</v>
      </c>
      <c r="U39" s="42"/>
      <c r="V39" s="42"/>
      <c r="W39" s="42"/>
      <c r="X39" s="42"/>
      <c r="Y39" s="25"/>
      <c r="Z39" s="42"/>
      <c r="AA39" s="42"/>
      <c r="AB39" s="42"/>
      <c r="AC39" s="42"/>
      <c r="AD39" s="42"/>
      <c r="AE39" s="25"/>
      <c r="AF39" s="42"/>
      <c r="AG39" s="42"/>
      <c r="AH39" s="42"/>
      <c r="AI39" s="25"/>
      <c r="AJ39" s="42"/>
      <c r="AK39" s="42"/>
      <c r="AL39" s="42"/>
      <c r="AM39" s="42"/>
      <c r="AN39" s="42"/>
      <c r="AO39" s="42"/>
      <c r="AP39" s="42"/>
      <c r="AQ39" s="42"/>
    </row>
    <row r="40" spans="1:43" s="45" customFormat="1" outlineLevel="1" x14ac:dyDescent="0.35">
      <c r="B40" s="25"/>
      <c r="C40" s="42"/>
      <c r="D40" s="42"/>
      <c r="E40" s="42"/>
      <c r="F40" s="42"/>
      <c r="G40" s="42"/>
      <c r="H40" s="42"/>
      <c r="I40" s="25"/>
      <c r="J40" s="42"/>
      <c r="K40" s="42"/>
      <c r="L40" s="42"/>
      <c r="M40" s="42"/>
      <c r="N40" s="42"/>
      <c r="O40" s="42"/>
      <c r="P40" s="42"/>
      <c r="Q40" s="25"/>
      <c r="R40" s="42">
        <f>0.0015*R25</f>
        <v>0</v>
      </c>
      <c r="S40" s="42"/>
      <c r="T40" s="42"/>
      <c r="U40" s="42"/>
      <c r="V40" s="42"/>
      <c r="W40" s="42"/>
      <c r="X40" s="42"/>
      <c r="Y40" s="25"/>
      <c r="Z40" s="42"/>
      <c r="AA40" s="42"/>
      <c r="AB40" s="42"/>
      <c r="AC40" s="42"/>
      <c r="AD40" s="42"/>
      <c r="AE40" s="25"/>
      <c r="AF40" s="42"/>
      <c r="AG40" s="42"/>
      <c r="AH40" s="42"/>
      <c r="AI40" s="25"/>
      <c r="AJ40" s="42"/>
      <c r="AK40" s="42"/>
      <c r="AL40" s="42"/>
      <c r="AM40" s="42"/>
      <c r="AN40" s="42"/>
      <c r="AO40" s="42"/>
      <c r="AP40" s="42"/>
      <c r="AQ40" s="42"/>
    </row>
    <row r="41" spans="1:43" s="45" customFormat="1" outlineLevel="1" x14ac:dyDescent="0.35">
      <c r="B41" s="25"/>
      <c r="C41" s="42"/>
      <c r="D41" s="42"/>
      <c r="E41" s="42"/>
      <c r="F41" s="42"/>
      <c r="G41" s="42"/>
      <c r="H41" s="42"/>
      <c r="I41" s="25"/>
      <c r="J41" s="42"/>
      <c r="K41" s="42"/>
      <c r="L41" s="42"/>
      <c r="M41" s="42"/>
      <c r="N41" s="42"/>
      <c r="O41" s="42"/>
      <c r="P41" s="42"/>
      <c r="Q41" s="25"/>
      <c r="R41" s="42"/>
      <c r="S41" s="42"/>
      <c r="T41" s="42"/>
      <c r="U41" s="42"/>
      <c r="V41" s="42"/>
      <c r="W41" s="42"/>
      <c r="X41" s="42"/>
      <c r="Y41" s="25"/>
      <c r="Z41" s="42"/>
      <c r="AA41" s="42"/>
      <c r="AB41" s="42"/>
      <c r="AC41" s="42"/>
      <c r="AD41" s="42"/>
      <c r="AE41" s="25"/>
      <c r="AF41" s="42"/>
      <c r="AG41" s="42"/>
      <c r="AH41" s="42"/>
      <c r="AI41" s="25"/>
      <c r="AJ41" s="42"/>
      <c r="AK41" s="42"/>
      <c r="AL41" s="42"/>
      <c r="AM41" s="42"/>
      <c r="AN41" s="42"/>
      <c r="AO41" s="42"/>
      <c r="AP41" s="42"/>
      <c r="AQ41" s="42"/>
    </row>
    <row r="42" spans="1:43" s="45" customFormat="1" outlineLevel="1" x14ac:dyDescent="0.35">
      <c r="B42" s="25"/>
      <c r="C42" s="42"/>
      <c r="D42" s="42"/>
      <c r="E42" s="42"/>
      <c r="F42" s="42"/>
      <c r="G42" s="42"/>
      <c r="H42" s="42"/>
      <c r="I42" s="25"/>
      <c r="J42" s="42"/>
      <c r="K42" s="42"/>
      <c r="L42" s="42"/>
      <c r="M42" s="42"/>
      <c r="N42" s="42"/>
      <c r="O42" s="42"/>
      <c r="P42" s="42"/>
      <c r="Q42" s="25"/>
      <c r="R42" s="42"/>
      <c r="S42" s="42"/>
      <c r="T42" s="42"/>
      <c r="U42" s="42"/>
      <c r="V42" s="42"/>
      <c r="W42" s="42"/>
      <c r="X42" s="42"/>
      <c r="Y42" s="25"/>
      <c r="Z42" s="42"/>
      <c r="AA42" s="42"/>
      <c r="AB42" s="42"/>
      <c r="AC42" s="42"/>
      <c r="AD42" s="42"/>
      <c r="AE42" s="25"/>
      <c r="AF42" s="42"/>
      <c r="AG42" s="42"/>
      <c r="AH42" s="42"/>
      <c r="AI42" s="25"/>
      <c r="AJ42" s="42"/>
      <c r="AK42" s="42"/>
      <c r="AL42" s="42"/>
      <c r="AM42" s="42"/>
      <c r="AN42" s="42"/>
      <c r="AO42" s="42"/>
      <c r="AP42" s="42"/>
      <c r="AQ42" s="42"/>
    </row>
    <row r="43" spans="1:43" s="45" customFormat="1" outlineLevel="1" x14ac:dyDescent="0.35">
      <c r="B43" s="25"/>
      <c r="C43" s="42"/>
      <c r="D43" s="42"/>
      <c r="E43" s="42"/>
      <c r="F43" s="42"/>
      <c r="G43" s="42"/>
      <c r="H43" s="42"/>
      <c r="I43" s="25"/>
      <c r="J43" s="42"/>
      <c r="K43" s="42"/>
      <c r="L43" s="42"/>
      <c r="M43" s="42"/>
      <c r="N43" s="42"/>
      <c r="O43" s="42"/>
      <c r="P43" s="42"/>
      <c r="Q43" s="25"/>
      <c r="R43" s="42"/>
      <c r="S43" s="42"/>
      <c r="T43" s="42"/>
      <c r="U43" s="42"/>
      <c r="V43" s="42"/>
      <c r="W43" s="42"/>
      <c r="X43" s="42"/>
      <c r="Y43" s="25"/>
      <c r="Z43" s="42"/>
      <c r="AA43" s="42"/>
      <c r="AB43" s="42"/>
      <c r="AC43" s="42"/>
      <c r="AD43" s="42"/>
      <c r="AE43" s="25"/>
      <c r="AF43" s="42"/>
      <c r="AG43" s="42"/>
      <c r="AH43" s="42"/>
      <c r="AI43" s="25"/>
      <c r="AJ43" s="42"/>
      <c r="AK43" s="42"/>
      <c r="AL43" s="42"/>
      <c r="AM43" s="42"/>
      <c r="AN43" s="42"/>
      <c r="AO43" s="42"/>
      <c r="AP43" s="42"/>
      <c r="AQ43" s="42"/>
    </row>
    <row r="44" spans="1:43" s="45" customFormat="1" outlineLevel="1" x14ac:dyDescent="0.35">
      <c r="B44" s="25"/>
      <c r="C44" s="42"/>
      <c r="D44" s="42"/>
      <c r="E44" s="42"/>
      <c r="F44" s="42"/>
      <c r="G44" s="42"/>
      <c r="H44" s="42"/>
      <c r="I44" s="25"/>
      <c r="J44" s="42"/>
      <c r="K44" s="42"/>
      <c r="L44" s="42"/>
      <c r="M44" s="42"/>
      <c r="N44" s="42"/>
      <c r="O44" s="42"/>
      <c r="P44" s="42"/>
      <c r="Q44" s="25"/>
      <c r="R44" s="42"/>
      <c r="S44" s="42"/>
      <c r="T44" s="42"/>
      <c r="U44" s="42"/>
      <c r="V44" s="42"/>
      <c r="W44" s="42"/>
      <c r="X44" s="42"/>
      <c r="Y44" s="25"/>
      <c r="Z44" s="42"/>
      <c r="AA44" s="42"/>
      <c r="AB44" s="42"/>
      <c r="AC44" s="42"/>
      <c r="AD44" s="42"/>
      <c r="AE44" s="25"/>
      <c r="AF44" s="42"/>
      <c r="AG44" s="42"/>
      <c r="AH44" s="42"/>
      <c r="AI44" s="25"/>
      <c r="AJ44" s="42"/>
      <c r="AK44" s="42"/>
      <c r="AL44" s="42"/>
      <c r="AM44" s="42"/>
      <c r="AN44" s="42"/>
      <c r="AO44" s="42"/>
      <c r="AP44" s="42"/>
      <c r="AQ44" s="42"/>
    </row>
    <row r="45" spans="1:43" s="19" customFormat="1" x14ac:dyDescent="0.35">
      <c r="A45" s="22" t="s">
        <v>1</v>
      </c>
      <c r="B45" s="9"/>
      <c r="C45" s="20"/>
      <c r="D45" s="20"/>
      <c r="E45" s="20"/>
      <c r="F45" s="20"/>
      <c r="G45" s="20"/>
      <c r="H45" s="47"/>
      <c r="I45" s="9"/>
      <c r="J45" s="20"/>
      <c r="K45" s="20"/>
      <c r="L45" s="20"/>
      <c r="M45" s="20"/>
      <c r="N45" s="20"/>
      <c r="O45" s="20"/>
      <c r="P45" s="20"/>
      <c r="Q45" s="9"/>
      <c r="R45" s="43"/>
      <c r="S45" s="43"/>
      <c r="T45" s="43"/>
      <c r="U45" s="43"/>
      <c r="V45" s="43"/>
      <c r="W45" s="43"/>
      <c r="X45" s="43"/>
      <c r="Y45" s="9"/>
      <c r="Z45" s="43"/>
      <c r="AA45" s="43"/>
      <c r="AB45" s="43"/>
      <c r="AC45" s="43"/>
      <c r="AD45" s="43"/>
      <c r="AE45" s="9"/>
      <c r="AF45" s="43"/>
      <c r="AG45" s="43"/>
      <c r="AH45" s="43"/>
      <c r="AI45" s="9"/>
      <c r="AJ45" s="43"/>
      <c r="AK45" s="43"/>
      <c r="AL45" s="43"/>
      <c r="AM45" s="43"/>
      <c r="AN45" s="43"/>
      <c r="AO45" s="43"/>
      <c r="AP45" s="43"/>
      <c r="AQ45" s="43"/>
    </row>
    <row r="46" spans="1:43" s="45" customFormat="1" outlineLevel="1" x14ac:dyDescent="0.35">
      <c r="B46" s="25"/>
      <c r="C46" s="42"/>
      <c r="D46" s="42">
        <v>0</v>
      </c>
      <c r="E46" s="42">
        <v>0</v>
      </c>
      <c r="F46" s="42">
        <v>10</v>
      </c>
      <c r="G46" s="42">
        <v>0</v>
      </c>
      <c r="H46" s="42">
        <v>0</v>
      </c>
      <c r="I46" s="25"/>
      <c r="J46" s="42">
        <v>4</v>
      </c>
      <c r="K46" s="42">
        <v>10</v>
      </c>
      <c r="L46" s="42">
        <v>15</v>
      </c>
      <c r="M46" s="42">
        <v>20</v>
      </c>
      <c r="N46" s="42">
        <v>30</v>
      </c>
      <c r="O46" s="42">
        <v>5</v>
      </c>
      <c r="P46" s="42">
        <v>0</v>
      </c>
      <c r="Q46" s="25"/>
      <c r="R46" s="42">
        <v>0</v>
      </c>
      <c r="S46" s="42"/>
      <c r="T46" s="42">
        <v>0</v>
      </c>
      <c r="U46" s="42"/>
      <c r="V46" s="42"/>
      <c r="W46" s="42"/>
      <c r="X46" s="42"/>
      <c r="Y46" s="25"/>
      <c r="Z46" s="100">
        <f>CHOOSE(Z25,0,0,1,2)</f>
        <v>0</v>
      </c>
      <c r="AA46" s="42">
        <v>0</v>
      </c>
      <c r="AB46" s="42">
        <v>0</v>
      </c>
      <c r="AC46" s="42">
        <v>0</v>
      </c>
      <c r="AD46" s="42">
        <v>0</v>
      </c>
      <c r="AE46" s="25"/>
      <c r="AF46" s="42">
        <v>0</v>
      </c>
      <c r="AG46" s="42">
        <v>0</v>
      </c>
      <c r="AH46" s="42"/>
      <c r="AI46" s="25"/>
      <c r="AJ46" s="42"/>
      <c r="AK46" s="42"/>
      <c r="AL46" s="42"/>
      <c r="AM46" s="42"/>
      <c r="AN46" s="42"/>
      <c r="AO46" s="42"/>
      <c r="AP46" s="42"/>
      <c r="AQ46" s="42"/>
    </row>
    <row r="47" spans="1:43" s="45" customFormat="1" outlineLevel="1" x14ac:dyDescent="0.35">
      <c r="B47" s="25"/>
      <c r="C47" s="42"/>
      <c r="D47" s="42">
        <v>10</v>
      </c>
      <c r="E47" s="42">
        <f>2+0.4*dielectric_count</f>
        <v>3.2</v>
      </c>
      <c r="F47" s="42">
        <v>0</v>
      </c>
      <c r="G47" s="42">
        <f>17+5*CHOOSE(C9,0,1,0,1,1,0,1,0,0,0,0,0,0,0,0)</f>
        <v>17</v>
      </c>
      <c r="H47" s="42">
        <v>10</v>
      </c>
      <c r="I47" s="25"/>
      <c r="J47" s="42"/>
      <c r="K47" s="42"/>
      <c r="L47" s="42"/>
      <c r="M47" s="42"/>
      <c r="N47" s="42"/>
      <c r="O47" s="42"/>
      <c r="P47" s="42">
        <v>10</v>
      </c>
      <c r="Q47" s="25"/>
      <c r="R47" s="42">
        <v>0</v>
      </c>
      <c r="S47" s="42"/>
      <c r="T47" s="42">
        <v>1.5</v>
      </c>
      <c r="U47" s="42"/>
      <c r="V47" s="42">
        <v>10</v>
      </c>
      <c r="W47" s="42"/>
      <c r="X47" s="42">
        <v>2</v>
      </c>
      <c r="Y47" s="25"/>
      <c r="Z47" s="42">
        <f>0.5*$Z$25</f>
        <v>1</v>
      </c>
      <c r="AA47" s="42">
        <f>0.5*($AA$25-1)</f>
        <v>0.5</v>
      </c>
      <c r="AB47" s="42">
        <v>5</v>
      </c>
      <c r="AC47" s="42">
        <v>5</v>
      </c>
      <c r="AD47" s="45">
        <v>5</v>
      </c>
      <c r="AE47" s="25"/>
      <c r="AF47" s="42">
        <v>25</v>
      </c>
      <c r="AG47" s="42">
        <v>25</v>
      </c>
      <c r="AH47" s="42"/>
      <c r="AI47" s="25"/>
      <c r="AJ47" s="42"/>
      <c r="AK47" s="42"/>
      <c r="AL47" s="42"/>
      <c r="AM47" s="42"/>
      <c r="AN47" s="42"/>
      <c r="AO47" s="42"/>
      <c r="AP47" s="42"/>
      <c r="AQ47" s="42"/>
    </row>
    <row r="48" spans="1:43" s="45" customFormat="1" outlineLevel="1" x14ac:dyDescent="0.35">
      <c r="B48" s="25"/>
      <c r="C48" s="42"/>
      <c r="D48" s="42">
        <v>20</v>
      </c>
      <c r="E48" s="42">
        <f>5+0.6*dielectric_count</f>
        <v>6.8</v>
      </c>
      <c r="F48" s="42">
        <v>6</v>
      </c>
      <c r="G48" s="42">
        <f>4</f>
        <v>4</v>
      </c>
      <c r="H48" s="42">
        <v>20</v>
      </c>
      <c r="I48" s="25"/>
      <c r="J48" s="42"/>
      <c r="K48" s="42"/>
      <c r="L48" s="42"/>
      <c r="M48" s="42"/>
      <c r="N48" s="42"/>
      <c r="O48" s="42"/>
      <c r="P48" s="42">
        <v>15</v>
      </c>
      <c r="Q48" s="25"/>
      <c r="R48" s="42">
        <v>0</v>
      </c>
      <c r="S48" s="42"/>
      <c r="T48" s="42">
        <v>1.5</v>
      </c>
      <c r="U48" s="42"/>
      <c r="V48" s="42">
        <v>10</v>
      </c>
      <c r="W48" s="42"/>
      <c r="X48" s="42"/>
      <c r="Y48" s="25"/>
      <c r="Z48" s="42">
        <f>0.5*$Z$25</f>
        <v>1</v>
      </c>
      <c r="AA48" s="42">
        <f>1*($AA$25-1)</f>
        <v>1</v>
      </c>
      <c r="AB48" s="42"/>
      <c r="AC48" s="42">
        <v>10</v>
      </c>
      <c r="AD48" s="42">
        <v>25</v>
      </c>
      <c r="AE48" s="25"/>
      <c r="AF48" s="42"/>
      <c r="AG48" s="42">
        <v>0</v>
      </c>
      <c r="AH48" s="42"/>
      <c r="AI48" s="25"/>
      <c r="AJ48" s="42"/>
      <c r="AK48" s="42"/>
      <c r="AL48" s="42"/>
      <c r="AM48" s="42"/>
      <c r="AN48" s="42"/>
      <c r="AO48" s="42"/>
      <c r="AP48" s="42"/>
      <c r="AQ48" s="42"/>
    </row>
    <row r="49" spans="1:43" s="45" customFormat="1" outlineLevel="1" x14ac:dyDescent="0.35">
      <c r="B49" s="25"/>
      <c r="C49" s="42"/>
      <c r="D49" s="42">
        <v>30</v>
      </c>
      <c r="E49" s="42">
        <f>5+0.6*dielectric_count</f>
        <v>6.8</v>
      </c>
      <c r="F49" s="42">
        <v>12</v>
      </c>
      <c r="G49" s="42">
        <f>7</f>
        <v>7</v>
      </c>
      <c r="H49" s="42">
        <v>30</v>
      </c>
      <c r="I49" s="25"/>
      <c r="J49" s="42"/>
      <c r="K49" s="42"/>
      <c r="L49" s="42"/>
      <c r="M49" s="42"/>
      <c r="N49" s="42"/>
      <c r="O49" s="42"/>
      <c r="P49" s="42">
        <v>50</v>
      </c>
      <c r="Q49" s="25"/>
      <c r="R49" s="42">
        <v>0</v>
      </c>
      <c r="S49" s="42"/>
      <c r="T49" s="42">
        <v>1.5</v>
      </c>
      <c r="U49" s="42"/>
      <c r="V49" s="42">
        <v>10</v>
      </c>
      <c r="W49" s="42"/>
      <c r="X49" s="42"/>
      <c r="Y49" s="25"/>
      <c r="Z49" s="42">
        <f>1.5*$Z$25</f>
        <v>3</v>
      </c>
      <c r="AA49" s="42">
        <f>1*($AA$25-1)</f>
        <v>1</v>
      </c>
      <c r="AB49" s="42"/>
      <c r="AC49" s="42"/>
      <c r="AD49" s="42">
        <v>40</v>
      </c>
      <c r="AE49" s="25"/>
      <c r="AF49" s="42"/>
      <c r="AG49" s="42">
        <v>25</v>
      </c>
      <c r="AH49" s="42"/>
      <c r="AI49" s="25"/>
      <c r="AJ49" s="42"/>
      <c r="AK49" s="42">
        <v>50</v>
      </c>
      <c r="AL49" s="42"/>
      <c r="AM49" s="42"/>
      <c r="AN49" s="42"/>
      <c r="AO49" s="42"/>
      <c r="AP49" s="42"/>
      <c r="AQ49" s="42"/>
    </row>
    <row r="50" spans="1:43" s="45" customFormat="1" outlineLevel="1" x14ac:dyDescent="0.35">
      <c r="B50" s="25"/>
      <c r="C50" s="42"/>
      <c r="D50" s="42"/>
      <c r="E50" s="42">
        <f>5+0.6*dielectric_count</f>
        <v>6.8</v>
      </c>
      <c r="F50" s="42">
        <v>24</v>
      </c>
      <c r="G50" s="42">
        <f>7+5*CHOOSE(C9,0,1,0,1,1,0,1,0,0,0,0,0,0,0,0)</f>
        <v>7</v>
      </c>
      <c r="H50" s="42">
        <v>40</v>
      </c>
      <c r="I50" s="25"/>
      <c r="J50" s="42"/>
      <c r="K50" s="42"/>
      <c r="L50" s="42"/>
      <c r="M50" s="42"/>
      <c r="N50" s="42"/>
      <c r="O50" s="42"/>
      <c r="P50" s="42"/>
      <c r="Q50" s="25"/>
      <c r="R50" s="42">
        <v>0.5</v>
      </c>
      <c r="S50" s="42"/>
      <c r="T50" s="42">
        <v>1.5</v>
      </c>
      <c r="U50" s="42"/>
      <c r="V50" s="42">
        <v>10</v>
      </c>
      <c r="W50" s="42"/>
      <c r="X50" s="42"/>
      <c r="Y50" s="25"/>
      <c r="Z50" s="42">
        <f>1*$Z$25</f>
        <v>2</v>
      </c>
      <c r="AA50" s="42">
        <f>2*($AA$25-1)</f>
        <v>2</v>
      </c>
      <c r="AB50" s="42"/>
      <c r="AC50" s="42"/>
      <c r="AD50" s="42">
        <v>55</v>
      </c>
      <c r="AE50" s="25"/>
      <c r="AF50" s="42"/>
      <c r="AG50" s="42">
        <v>0</v>
      </c>
      <c r="AH50" s="42"/>
      <c r="AI50" s="25"/>
      <c r="AJ50" s="42"/>
      <c r="AK50" s="42">
        <v>50</v>
      </c>
      <c r="AL50" s="42"/>
      <c r="AM50" s="42"/>
      <c r="AN50" s="42"/>
      <c r="AO50" s="42"/>
      <c r="AP50" s="42"/>
      <c r="AQ50" s="42"/>
    </row>
    <row r="51" spans="1:43" s="45" customFormat="1" outlineLevel="1" x14ac:dyDescent="0.35">
      <c r="B51" s="25"/>
      <c r="C51" s="42"/>
      <c r="D51" s="42"/>
      <c r="E51" s="42">
        <v>0</v>
      </c>
      <c r="F51" s="42"/>
      <c r="G51" s="42">
        <v>0</v>
      </c>
      <c r="H51" s="42">
        <v>50</v>
      </c>
      <c r="I51" s="25"/>
      <c r="J51" s="42"/>
      <c r="K51" s="42"/>
      <c r="L51" s="42"/>
      <c r="M51" s="42"/>
      <c r="N51" s="42"/>
      <c r="O51" s="42"/>
      <c r="P51" s="42"/>
      <c r="Q51" s="25"/>
      <c r="R51" s="42">
        <v>1</v>
      </c>
      <c r="S51" s="42"/>
      <c r="T51" s="42">
        <v>2</v>
      </c>
      <c r="U51" s="42"/>
      <c r="V51" s="42"/>
      <c r="W51" s="42"/>
      <c r="X51" s="42"/>
      <c r="Y51" s="25"/>
      <c r="Z51" s="42">
        <f>1.5*$Z$25</f>
        <v>3</v>
      </c>
      <c r="AA51" s="42"/>
      <c r="AB51" s="42"/>
      <c r="AC51" s="42"/>
      <c r="AD51" s="42">
        <v>75</v>
      </c>
      <c r="AE51" s="25"/>
      <c r="AF51" s="42"/>
      <c r="AG51" s="42"/>
      <c r="AH51" s="42"/>
      <c r="AI51" s="25"/>
      <c r="AJ51" s="42"/>
      <c r="AK51" s="42">
        <v>50</v>
      </c>
      <c r="AL51" s="42"/>
      <c r="AM51" s="42"/>
      <c r="AN51" s="42"/>
      <c r="AO51" s="42"/>
      <c r="AP51" s="42"/>
      <c r="AQ51" s="42"/>
    </row>
    <row r="52" spans="1:43" s="45" customFormat="1" outlineLevel="1" x14ac:dyDescent="0.35">
      <c r="B52" s="25"/>
      <c r="C52" s="42"/>
      <c r="D52" s="42"/>
      <c r="E52" s="42">
        <f>5+2*dielectric_count</f>
        <v>11</v>
      </c>
      <c r="F52" s="42"/>
      <c r="G52" s="42">
        <f>'Gold Pricing'!F19+5*CHOOSE(C9,0,1,0,1,1,0,1,0,0,0,0,0,0,0,0)</f>
        <v>20</v>
      </c>
      <c r="H52" s="42">
        <v>60</v>
      </c>
      <c r="I52" s="25"/>
      <c r="J52" s="42"/>
      <c r="K52" s="42"/>
      <c r="L52" s="42"/>
      <c r="M52" s="42"/>
      <c r="N52" s="42"/>
      <c r="O52" s="42"/>
      <c r="P52" s="42"/>
      <c r="Q52" s="25"/>
      <c r="R52" s="42">
        <v>2</v>
      </c>
      <c r="S52" s="42"/>
      <c r="T52" s="42">
        <v>3</v>
      </c>
      <c r="U52" s="42"/>
      <c r="V52" s="42"/>
      <c r="W52" s="42"/>
      <c r="X52" s="42"/>
      <c r="Y52" s="25"/>
      <c r="Z52" s="42">
        <f>1*$Z$25</f>
        <v>2</v>
      </c>
      <c r="AA52" s="42"/>
      <c r="AB52" s="42"/>
      <c r="AC52" s="42"/>
      <c r="AD52" s="42">
        <v>55</v>
      </c>
      <c r="AE52" s="25"/>
      <c r="AF52" s="42"/>
      <c r="AG52" s="42"/>
      <c r="AH52" s="42"/>
      <c r="AI52" s="25"/>
      <c r="AJ52" s="42"/>
      <c r="AK52" s="42"/>
      <c r="AL52" s="42"/>
      <c r="AM52" s="42"/>
      <c r="AN52" s="42"/>
      <c r="AO52" s="42"/>
      <c r="AP52" s="42"/>
      <c r="AQ52" s="42"/>
    </row>
    <row r="53" spans="1:43" s="45" customFormat="1" outlineLevel="1" x14ac:dyDescent="0.35">
      <c r="B53" s="25"/>
      <c r="C53" s="42"/>
      <c r="D53" s="42"/>
      <c r="E53" s="42">
        <f>14*CHOOSE(F9,1,1,1.5,2,4)+4*dielectric_count*CHOOSE(F9,1,1,1.5,2,4)</f>
        <v>26</v>
      </c>
      <c r="F53" s="42"/>
      <c r="G53" s="42">
        <f>'Gold Pricing'!F19+5*CHOOSE(C9,0,1,0,1,1,0,1,0,0,0,0,0,0,0,0)</f>
        <v>20</v>
      </c>
      <c r="H53" s="42">
        <v>70</v>
      </c>
      <c r="I53" s="25"/>
      <c r="J53" s="42"/>
      <c r="K53" s="42"/>
      <c r="L53" s="42"/>
      <c r="M53" s="42"/>
      <c r="N53" s="42"/>
      <c r="O53" s="42"/>
      <c r="P53" s="42"/>
      <c r="Q53" s="25"/>
      <c r="R53" s="42">
        <v>4</v>
      </c>
      <c r="S53" s="42"/>
      <c r="T53" s="42">
        <v>4</v>
      </c>
      <c r="U53" s="42"/>
      <c r="V53" s="42"/>
      <c r="W53" s="42"/>
      <c r="X53" s="42"/>
      <c r="Y53" s="25"/>
      <c r="Z53" s="42">
        <f>1*$Z$25</f>
        <v>2</v>
      </c>
      <c r="AA53" s="42"/>
      <c r="AB53" s="42"/>
      <c r="AC53" s="42"/>
      <c r="AD53" s="42">
        <v>70</v>
      </c>
      <c r="AE53" s="25"/>
      <c r="AF53" s="42"/>
      <c r="AG53" s="42"/>
      <c r="AH53" s="42"/>
      <c r="AI53" s="25"/>
      <c r="AJ53" s="42"/>
      <c r="AK53" s="42"/>
      <c r="AL53" s="42"/>
      <c r="AM53" s="42"/>
      <c r="AN53" s="42"/>
      <c r="AO53" s="42"/>
      <c r="AP53" s="42"/>
      <c r="AQ53" s="42"/>
    </row>
    <row r="54" spans="1:43" s="45" customFormat="1" outlineLevel="1" x14ac:dyDescent="0.35">
      <c r="B54" s="25"/>
      <c r="C54" s="42"/>
      <c r="D54" s="42"/>
      <c r="E54" s="42">
        <v>0</v>
      </c>
      <c r="F54" s="42"/>
      <c r="G54" s="42">
        <f>'Gold Pricing'!F19+5*CHOOSE(C9,0,1,0,1,1,0,1,0,0,0,0,0,0,0,0)</f>
        <v>20</v>
      </c>
      <c r="H54" s="42">
        <v>80</v>
      </c>
      <c r="I54" s="25"/>
      <c r="J54" s="42"/>
      <c r="K54" s="42"/>
      <c r="L54" s="42"/>
      <c r="M54" s="42"/>
      <c r="N54" s="42"/>
      <c r="O54" s="42"/>
      <c r="P54" s="42"/>
      <c r="Q54" s="25"/>
      <c r="R54" s="42">
        <v>4</v>
      </c>
      <c r="S54" s="42"/>
      <c r="T54" s="42"/>
      <c r="U54" s="42"/>
      <c r="V54" s="42"/>
      <c r="W54" s="42"/>
      <c r="X54" s="42"/>
      <c r="Y54" s="25"/>
      <c r="Z54" s="42">
        <f>1*$Z$25</f>
        <v>2</v>
      </c>
      <c r="AA54" s="42"/>
      <c r="AB54" s="42"/>
      <c r="AC54" s="42"/>
      <c r="AD54" s="42">
        <v>90</v>
      </c>
      <c r="AE54" s="25"/>
      <c r="AF54" s="42"/>
      <c r="AG54" s="42"/>
      <c r="AH54" s="42"/>
      <c r="AI54" s="25"/>
      <c r="AJ54" s="42"/>
      <c r="AK54" s="42"/>
      <c r="AL54" s="42"/>
      <c r="AM54" s="42"/>
      <c r="AN54" s="42"/>
      <c r="AO54" s="42"/>
      <c r="AP54" s="42"/>
      <c r="AQ54" s="42"/>
    </row>
    <row r="55" spans="1:43" s="45" customFormat="1" outlineLevel="1" x14ac:dyDescent="0.35">
      <c r="B55" s="25"/>
      <c r="C55" s="42"/>
      <c r="D55" s="42"/>
      <c r="E55" s="42">
        <f>30+20*dielectric_count</f>
        <v>90</v>
      </c>
      <c r="F55" s="42"/>
      <c r="G55" s="42"/>
      <c r="H55" s="42">
        <v>90</v>
      </c>
      <c r="I55" s="25"/>
      <c r="J55" s="42"/>
      <c r="K55" s="42"/>
      <c r="L55" s="42"/>
      <c r="M55" s="42"/>
      <c r="N55" s="42"/>
      <c r="O55" s="42"/>
      <c r="P55" s="42"/>
      <c r="Q55" s="25"/>
      <c r="R55" s="42"/>
      <c r="S55" s="42"/>
      <c r="T55" s="42"/>
      <c r="U55" s="42"/>
      <c r="V55" s="42"/>
      <c r="W55" s="42"/>
      <c r="X55" s="42"/>
      <c r="Y55" s="25"/>
      <c r="Z55" s="42">
        <v>0</v>
      </c>
      <c r="AA55" s="42"/>
      <c r="AB55" s="42"/>
      <c r="AC55" s="42"/>
      <c r="AD55" s="42">
        <v>110</v>
      </c>
      <c r="AE55" s="25"/>
      <c r="AF55" s="42"/>
      <c r="AG55" s="42"/>
      <c r="AH55" s="42"/>
      <c r="AI55" s="25"/>
      <c r="AJ55" s="42"/>
      <c r="AK55" s="42"/>
      <c r="AL55" s="42"/>
      <c r="AM55" s="42"/>
      <c r="AN55" s="42"/>
      <c r="AO55" s="42"/>
      <c r="AP55" s="42"/>
      <c r="AQ55" s="42"/>
    </row>
    <row r="56" spans="1:43" s="45" customFormat="1" outlineLevel="1" x14ac:dyDescent="0.35">
      <c r="B56" s="25"/>
      <c r="C56" s="42"/>
      <c r="D56" s="42"/>
      <c r="E56" s="42">
        <v>10</v>
      </c>
      <c r="F56" s="42"/>
      <c r="G56" s="42"/>
      <c r="H56" s="42">
        <v>100</v>
      </c>
      <c r="I56" s="25"/>
      <c r="J56" s="42"/>
      <c r="K56" s="42"/>
      <c r="L56" s="42"/>
      <c r="M56" s="42"/>
      <c r="N56" s="42"/>
      <c r="O56" s="42"/>
      <c r="P56" s="42"/>
      <c r="Q56" s="25"/>
      <c r="R56" s="42"/>
      <c r="S56" s="42"/>
      <c r="T56" s="42"/>
      <c r="U56" s="42"/>
      <c r="V56" s="42"/>
      <c r="W56" s="42"/>
      <c r="X56" s="42"/>
      <c r="Y56" s="25"/>
      <c r="Z56" s="42"/>
      <c r="AA56" s="42"/>
      <c r="AB56" s="42"/>
      <c r="AC56" s="42"/>
      <c r="AD56" s="42"/>
      <c r="AE56" s="25"/>
      <c r="AF56" s="42"/>
      <c r="AG56" s="42"/>
      <c r="AH56" s="42"/>
      <c r="AI56" s="25"/>
      <c r="AJ56" s="42"/>
      <c r="AK56" s="42"/>
      <c r="AL56" s="42"/>
      <c r="AM56" s="42"/>
      <c r="AN56" s="42"/>
      <c r="AO56" s="42"/>
      <c r="AP56" s="42"/>
      <c r="AQ56" s="42"/>
    </row>
    <row r="57" spans="1:43" s="45" customFormat="1" outlineLevel="1" x14ac:dyDescent="0.35">
      <c r="B57" s="25"/>
      <c r="C57" s="42"/>
      <c r="D57" s="42"/>
      <c r="E57" s="42"/>
      <c r="F57" s="42"/>
      <c r="G57" s="42"/>
      <c r="H57" s="42"/>
      <c r="I57" s="25"/>
      <c r="J57" s="42"/>
      <c r="K57" s="42"/>
      <c r="L57" s="42"/>
      <c r="M57" s="42"/>
      <c r="N57" s="42"/>
      <c r="O57" s="42"/>
      <c r="P57" s="42"/>
      <c r="Q57" s="25"/>
      <c r="R57" s="42"/>
      <c r="S57" s="42"/>
      <c r="T57" s="42"/>
      <c r="U57" s="42"/>
      <c r="V57" s="42"/>
      <c r="W57" s="42"/>
      <c r="X57" s="42"/>
      <c r="Y57" s="25"/>
      <c r="Z57" s="42"/>
      <c r="AA57" s="42"/>
      <c r="AB57" s="42"/>
      <c r="AC57" s="42"/>
      <c r="AD57" s="42"/>
      <c r="AE57" s="25"/>
      <c r="AF57" s="42"/>
      <c r="AG57" s="42"/>
      <c r="AH57" s="42"/>
      <c r="AI57" s="25"/>
      <c r="AJ57" s="42"/>
      <c r="AK57" s="42"/>
      <c r="AL57" s="42"/>
      <c r="AM57" s="42"/>
      <c r="AN57" s="42"/>
      <c r="AO57" s="42"/>
      <c r="AP57" s="42"/>
      <c r="AQ57" s="42"/>
    </row>
    <row r="58" spans="1:43" s="19" customFormat="1" x14ac:dyDescent="0.35">
      <c r="A58" s="22" t="s">
        <v>139</v>
      </c>
      <c r="B58" s="9"/>
      <c r="C58" s="20"/>
      <c r="D58" s="20"/>
      <c r="E58" s="20"/>
      <c r="F58" s="20"/>
      <c r="G58" s="20"/>
      <c r="H58" s="47"/>
      <c r="I58" s="9"/>
      <c r="J58" s="20"/>
      <c r="K58" s="20"/>
      <c r="L58" s="20"/>
      <c r="M58" s="20"/>
      <c r="N58" s="20"/>
      <c r="O58" s="20"/>
      <c r="P58" s="20"/>
      <c r="Q58" s="9"/>
      <c r="R58" s="43"/>
      <c r="S58" s="43"/>
      <c r="T58" s="43"/>
      <c r="U58" s="43"/>
      <c r="V58" s="43"/>
      <c r="W58" s="43"/>
      <c r="X58" s="43"/>
      <c r="Y58" s="9"/>
      <c r="Z58" s="43"/>
      <c r="AA58" s="43"/>
      <c r="AB58" s="43"/>
      <c r="AC58" s="43"/>
      <c r="AD58" s="43"/>
      <c r="AE58" s="9"/>
      <c r="AF58" s="43"/>
      <c r="AG58" s="43"/>
      <c r="AH58" s="43"/>
      <c r="AI58" s="9"/>
      <c r="AJ58" s="43"/>
      <c r="AK58" s="43"/>
      <c r="AL58" s="43"/>
      <c r="AM58" s="43"/>
      <c r="AN58" s="43"/>
      <c r="AO58" s="43"/>
      <c r="AP58" s="43"/>
      <c r="AQ58" s="43"/>
    </row>
    <row r="59" spans="1:43" s="45" customFormat="1" outlineLevel="1" x14ac:dyDescent="0.35">
      <c r="B59" s="25"/>
      <c r="C59" s="42"/>
      <c r="D59" s="42"/>
      <c r="E59" s="42"/>
      <c r="F59" s="42"/>
      <c r="G59" s="42"/>
      <c r="H59" s="42"/>
      <c r="I59" s="25"/>
      <c r="J59" s="42">
        <f>3*J46*J9</f>
        <v>24</v>
      </c>
      <c r="K59" s="42">
        <f t="shared" ref="K59:O59" si="15">3*K46*K9</f>
        <v>0</v>
      </c>
      <c r="L59" s="42">
        <f t="shared" si="15"/>
        <v>0</v>
      </c>
      <c r="M59" s="42">
        <f t="shared" si="15"/>
        <v>0</v>
      </c>
      <c r="N59" s="42">
        <f t="shared" si="15"/>
        <v>0</v>
      </c>
      <c r="O59" s="42">
        <f t="shared" si="15"/>
        <v>0</v>
      </c>
      <c r="P59" s="42"/>
      <c r="Q59" s="25"/>
      <c r="R59" s="42"/>
      <c r="S59" s="42"/>
      <c r="T59" s="42"/>
      <c r="U59" s="42"/>
      <c r="V59" s="42"/>
      <c r="W59" s="42"/>
      <c r="X59" s="42"/>
      <c r="Y59" s="25"/>
      <c r="Z59" s="100">
        <v>0</v>
      </c>
      <c r="AA59" s="42"/>
      <c r="AB59" s="42"/>
      <c r="AC59" s="42"/>
      <c r="AD59" s="42">
        <v>0</v>
      </c>
      <c r="AE59" s="25"/>
      <c r="AF59" s="42">
        <v>0</v>
      </c>
      <c r="AG59" s="42"/>
      <c r="AH59" s="42"/>
      <c r="AI59" s="25"/>
      <c r="AJ59" s="42"/>
      <c r="AK59" s="42"/>
      <c r="AL59" s="42"/>
      <c r="AM59" s="42"/>
      <c r="AN59" s="42"/>
      <c r="AO59" s="42"/>
      <c r="AP59" s="42"/>
      <c r="AQ59" s="42"/>
    </row>
    <row r="60" spans="1:43" s="45" customFormat="1" outlineLevel="1" x14ac:dyDescent="0.35">
      <c r="B60" s="25"/>
      <c r="C60" s="42"/>
      <c r="D60" s="42"/>
      <c r="E60" s="42"/>
      <c r="F60" s="42"/>
      <c r="G60" s="42"/>
      <c r="H60" s="42"/>
      <c r="I60" s="25"/>
      <c r="J60" s="42"/>
      <c r="K60" s="42"/>
      <c r="L60" s="42"/>
      <c r="M60" s="42"/>
      <c r="N60" s="42"/>
      <c r="O60" s="42"/>
      <c r="P60" s="42"/>
      <c r="Q60" s="25"/>
      <c r="R60" s="42"/>
      <c r="S60" s="42"/>
      <c r="T60" s="42"/>
      <c r="U60" s="42"/>
      <c r="V60" s="42"/>
      <c r="W60" s="42">
        <v>2</v>
      </c>
      <c r="X60" s="42"/>
      <c r="Y60" s="25"/>
      <c r="Z60" s="42">
        <v>5</v>
      </c>
      <c r="AA60" s="42"/>
      <c r="AB60" s="42"/>
      <c r="AC60" s="42"/>
      <c r="AE60" s="25"/>
      <c r="AF60" s="42">
        <v>350</v>
      </c>
      <c r="AG60" s="42">
        <v>200</v>
      </c>
      <c r="AH60" s="42"/>
      <c r="AI60" s="25"/>
      <c r="AJ60" s="42"/>
      <c r="AK60" s="42"/>
      <c r="AL60" s="42"/>
      <c r="AM60" s="42"/>
      <c r="AN60" s="42"/>
      <c r="AO60" s="42"/>
      <c r="AP60" s="42"/>
      <c r="AQ60" s="42"/>
    </row>
    <row r="61" spans="1:43" s="45" customFormat="1" outlineLevel="1" x14ac:dyDescent="0.35">
      <c r="B61" s="25"/>
      <c r="C61" s="42"/>
      <c r="D61" s="42"/>
      <c r="E61" s="42"/>
      <c r="F61" s="42"/>
      <c r="G61" s="42"/>
      <c r="H61" s="42"/>
      <c r="I61" s="25"/>
      <c r="J61" s="42"/>
      <c r="K61" s="42"/>
      <c r="L61" s="42"/>
      <c r="M61" s="42"/>
      <c r="N61" s="42"/>
      <c r="O61" s="42"/>
      <c r="P61" s="42"/>
      <c r="Q61" s="25"/>
      <c r="R61" s="42"/>
      <c r="S61" s="42"/>
      <c r="T61" s="42"/>
      <c r="U61" s="42"/>
      <c r="V61" s="42"/>
      <c r="W61" s="42">
        <v>3</v>
      </c>
      <c r="X61" s="42"/>
      <c r="Y61" s="25"/>
      <c r="Z61" s="42">
        <v>5</v>
      </c>
      <c r="AA61" s="42"/>
      <c r="AB61" s="42"/>
      <c r="AC61" s="42"/>
      <c r="AD61" s="42">
        <v>150</v>
      </c>
      <c r="AE61" s="25"/>
      <c r="AF61" s="42"/>
      <c r="AG61" s="42">
        <v>200</v>
      </c>
      <c r="AH61" s="42"/>
      <c r="AI61" s="25"/>
      <c r="AJ61" s="42"/>
      <c r="AK61" s="42"/>
      <c r="AL61" s="42"/>
      <c r="AM61" s="42"/>
      <c r="AN61" s="42"/>
      <c r="AO61" s="42"/>
      <c r="AP61" s="42"/>
      <c r="AQ61" s="42"/>
    </row>
    <row r="62" spans="1:43" s="45" customFormat="1" outlineLevel="1" x14ac:dyDescent="0.35">
      <c r="B62" s="25"/>
      <c r="C62" s="42"/>
      <c r="D62" s="42">
        <v>150</v>
      </c>
      <c r="E62" s="42"/>
      <c r="F62" s="42"/>
      <c r="G62" s="42"/>
      <c r="H62" s="42"/>
      <c r="I62" s="25"/>
      <c r="J62" s="42"/>
      <c r="K62" s="42"/>
      <c r="L62" s="42"/>
      <c r="M62" s="42"/>
      <c r="N62" s="42"/>
      <c r="O62" s="42"/>
      <c r="P62" s="42"/>
      <c r="Q62" s="25"/>
      <c r="R62" s="42"/>
      <c r="S62" s="42"/>
      <c r="T62" s="42"/>
      <c r="U62" s="42"/>
      <c r="V62" s="42"/>
      <c r="W62" s="42"/>
      <c r="X62" s="42"/>
      <c r="Y62" s="25"/>
      <c r="Z62" s="42">
        <v>25</v>
      </c>
      <c r="AA62" s="42"/>
      <c r="AB62" s="42"/>
      <c r="AC62" s="42"/>
      <c r="AD62" s="42">
        <v>350</v>
      </c>
      <c r="AE62" s="25"/>
      <c r="AF62" s="42"/>
      <c r="AG62" s="42">
        <v>200</v>
      </c>
      <c r="AH62" s="42"/>
      <c r="AI62" s="25"/>
      <c r="AJ62" s="42"/>
      <c r="AK62" s="42">
        <v>200</v>
      </c>
      <c r="AL62" s="42"/>
      <c r="AM62" s="42"/>
      <c r="AN62" s="42"/>
      <c r="AO62" s="42"/>
      <c r="AP62" s="42"/>
      <c r="AQ62" s="42"/>
    </row>
    <row r="63" spans="1:43" s="45" customFormat="1" outlineLevel="1" x14ac:dyDescent="0.35">
      <c r="B63" s="25"/>
      <c r="C63" s="42"/>
      <c r="D63" s="42"/>
      <c r="E63" s="42"/>
      <c r="F63" s="42"/>
      <c r="G63" s="42">
        <v>100</v>
      </c>
      <c r="H63" s="42"/>
      <c r="I63" s="25"/>
      <c r="J63" s="42"/>
      <c r="K63" s="42"/>
      <c r="L63" s="42"/>
      <c r="M63" s="42"/>
      <c r="N63" s="42"/>
      <c r="O63" s="42"/>
      <c r="P63" s="42"/>
      <c r="Q63" s="25"/>
      <c r="R63" s="42"/>
      <c r="S63" s="42"/>
      <c r="T63" s="42"/>
      <c r="U63" s="42"/>
      <c r="V63" s="42"/>
      <c r="W63" s="42"/>
      <c r="X63" s="42"/>
      <c r="Y63" s="25"/>
      <c r="Z63" s="42">
        <v>10</v>
      </c>
      <c r="AA63" s="42"/>
      <c r="AB63" s="42"/>
      <c r="AC63" s="42"/>
      <c r="AD63" s="42">
        <v>350</v>
      </c>
      <c r="AE63" s="25"/>
      <c r="AF63" s="42"/>
      <c r="AG63" s="42">
        <v>200</v>
      </c>
      <c r="AH63" s="42"/>
      <c r="AI63" s="25"/>
      <c r="AJ63" s="42"/>
      <c r="AK63" s="42">
        <v>200</v>
      </c>
      <c r="AL63" s="42"/>
      <c r="AM63" s="42"/>
      <c r="AN63" s="42"/>
      <c r="AO63" s="42"/>
      <c r="AP63" s="42"/>
      <c r="AQ63" s="42"/>
    </row>
    <row r="64" spans="1:43" s="45" customFormat="1" outlineLevel="1" x14ac:dyDescent="0.35">
      <c r="B64" s="25"/>
      <c r="C64" s="42"/>
      <c r="D64" s="42"/>
      <c r="E64" s="42"/>
      <c r="F64" s="42"/>
      <c r="G64" s="42">
        <v>100</v>
      </c>
      <c r="H64" s="42"/>
      <c r="I64" s="25"/>
      <c r="J64" s="42"/>
      <c r="K64" s="42"/>
      <c r="L64" s="42"/>
      <c r="M64" s="42"/>
      <c r="N64" s="42"/>
      <c r="O64" s="42"/>
      <c r="P64" s="42"/>
      <c r="Q64" s="25"/>
      <c r="R64" s="42"/>
      <c r="S64" s="42"/>
      <c r="T64" s="42"/>
      <c r="U64" s="42"/>
      <c r="V64" s="42"/>
      <c r="W64" s="42"/>
      <c r="X64" s="42"/>
      <c r="Y64" s="25"/>
      <c r="Z64" s="42">
        <v>25</v>
      </c>
      <c r="AA64" s="42"/>
      <c r="AB64" s="42"/>
      <c r="AC64" s="42"/>
      <c r="AD64" s="42">
        <v>500</v>
      </c>
      <c r="AE64" s="25"/>
      <c r="AF64" s="42"/>
      <c r="AG64" s="42"/>
      <c r="AH64" s="42"/>
      <c r="AI64" s="25"/>
      <c r="AJ64" s="42"/>
      <c r="AK64" s="42">
        <v>200</v>
      </c>
      <c r="AL64" s="42"/>
      <c r="AM64" s="42"/>
      <c r="AN64" s="42"/>
      <c r="AO64" s="42"/>
      <c r="AP64" s="42"/>
      <c r="AQ64" s="42"/>
    </row>
    <row r="65" spans="1:43" s="45" customFormat="1" outlineLevel="1" x14ac:dyDescent="0.35">
      <c r="B65" s="25"/>
      <c r="C65" s="42"/>
      <c r="D65" s="42"/>
      <c r="E65" s="42"/>
      <c r="F65" s="42"/>
      <c r="G65" s="42">
        <f>'Gold Pricing'!F20</f>
        <v>50</v>
      </c>
      <c r="H65" s="42"/>
      <c r="I65" s="25"/>
      <c r="J65" s="42"/>
      <c r="K65" s="42"/>
      <c r="L65" s="42"/>
      <c r="M65" s="42"/>
      <c r="N65" s="42"/>
      <c r="O65" s="42"/>
      <c r="P65" s="42"/>
      <c r="Q65" s="25"/>
      <c r="R65" s="42"/>
      <c r="S65" s="42"/>
      <c r="T65" s="42"/>
      <c r="U65" s="42"/>
      <c r="V65" s="42"/>
      <c r="W65" s="42"/>
      <c r="X65" s="42"/>
      <c r="Y65" s="25"/>
      <c r="Z65" s="42">
        <v>25</v>
      </c>
      <c r="AA65" s="42"/>
      <c r="AB65" s="42"/>
      <c r="AC65" s="42"/>
      <c r="AD65" s="42">
        <v>550</v>
      </c>
      <c r="AE65" s="25"/>
      <c r="AF65" s="42"/>
      <c r="AG65" s="42"/>
      <c r="AH65" s="42"/>
      <c r="AI65" s="25"/>
      <c r="AJ65" s="42"/>
      <c r="AK65" s="42"/>
      <c r="AL65" s="42"/>
      <c r="AM65" s="42"/>
      <c r="AN65" s="42"/>
      <c r="AO65" s="42"/>
      <c r="AP65" s="42"/>
      <c r="AQ65" s="42"/>
    </row>
    <row r="66" spans="1:43" s="45" customFormat="1" outlineLevel="1" x14ac:dyDescent="0.35">
      <c r="B66" s="25"/>
      <c r="C66" s="42"/>
      <c r="D66" s="42"/>
      <c r="E66" s="42"/>
      <c r="F66" s="42"/>
      <c r="G66" s="42">
        <f>'Gold Pricing'!F20</f>
        <v>50</v>
      </c>
      <c r="H66" s="42"/>
      <c r="I66" s="25"/>
      <c r="J66" s="42"/>
      <c r="K66" s="42"/>
      <c r="L66" s="42"/>
      <c r="M66" s="42"/>
      <c r="N66" s="42"/>
      <c r="O66" s="42"/>
      <c r="P66" s="42"/>
      <c r="Q66" s="25"/>
      <c r="R66" s="42"/>
      <c r="S66" s="42"/>
      <c r="T66" s="42"/>
      <c r="U66" s="42"/>
      <c r="V66" s="42"/>
      <c r="W66" s="42"/>
      <c r="X66" s="42"/>
      <c r="Y66" s="25"/>
      <c r="Z66" s="42">
        <v>25</v>
      </c>
      <c r="AA66" s="42"/>
      <c r="AB66" s="42"/>
      <c r="AC66" s="42"/>
      <c r="AD66" s="42">
        <v>750</v>
      </c>
      <c r="AE66" s="25"/>
      <c r="AF66" s="42"/>
      <c r="AG66" s="42"/>
      <c r="AH66" s="42"/>
      <c r="AI66" s="25"/>
      <c r="AJ66" s="42"/>
      <c r="AK66" s="42"/>
      <c r="AL66" s="42"/>
      <c r="AM66" s="42"/>
      <c r="AN66" s="42"/>
      <c r="AO66" s="42"/>
      <c r="AP66" s="42"/>
      <c r="AQ66" s="42"/>
    </row>
    <row r="67" spans="1:43" s="45" customFormat="1" outlineLevel="1" x14ac:dyDescent="0.35">
      <c r="B67" s="25"/>
      <c r="C67" s="42"/>
      <c r="D67" s="42"/>
      <c r="E67" s="42"/>
      <c r="F67" s="42"/>
      <c r="G67" s="42">
        <f>'Gold Pricing'!F20</f>
        <v>50</v>
      </c>
      <c r="H67" s="42"/>
      <c r="I67" s="25"/>
      <c r="J67" s="42"/>
      <c r="K67" s="42"/>
      <c r="L67" s="42"/>
      <c r="M67" s="42"/>
      <c r="N67" s="42"/>
      <c r="O67" s="42"/>
      <c r="P67" s="42"/>
      <c r="Q67" s="25"/>
      <c r="R67" s="42"/>
      <c r="S67" s="42"/>
      <c r="T67" s="42"/>
      <c r="U67" s="42"/>
      <c r="V67" s="42"/>
      <c r="W67" s="42"/>
      <c r="X67" s="42"/>
      <c r="Y67" s="25"/>
      <c r="Z67" s="42">
        <v>25</v>
      </c>
      <c r="AA67" s="42"/>
      <c r="AB67" s="42"/>
      <c r="AC67" s="42"/>
      <c r="AD67" s="42">
        <v>750</v>
      </c>
      <c r="AE67" s="25"/>
      <c r="AF67" s="42"/>
      <c r="AG67" s="42"/>
      <c r="AH67" s="42"/>
      <c r="AI67" s="25"/>
      <c r="AJ67" s="42"/>
      <c r="AK67" s="42"/>
      <c r="AL67" s="42"/>
      <c r="AM67" s="42"/>
      <c r="AN67" s="42"/>
      <c r="AO67" s="42"/>
      <c r="AP67" s="42"/>
      <c r="AQ67" s="42"/>
    </row>
    <row r="68" spans="1:43" s="45" customFormat="1" outlineLevel="1" x14ac:dyDescent="0.35">
      <c r="B68" s="25"/>
      <c r="C68" s="42"/>
      <c r="D68" s="42"/>
      <c r="E68" s="42">
        <f>3*E55</f>
        <v>270</v>
      </c>
      <c r="F68" s="42"/>
      <c r="G68" s="42"/>
      <c r="H68" s="42"/>
      <c r="I68" s="25"/>
      <c r="J68" s="42"/>
      <c r="K68" s="42"/>
      <c r="L68" s="42"/>
      <c r="M68" s="42"/>
      <c r="N68" s="42"/>
      <c r="O68" s="42"/>
      <c r="P68" s="42"/>
      <c r="Q68" s="25"/>
      <c r="R68" s="42"/>
      <c r="S68" s="42"/>
      <c r="T68" s="42"/>
      <c r="U68" s="42"/>
      <c r="V68" s="42"/>
      <c r="W68" s="42"/>
      <c r="X68" s="42"/>
      <c r="Y68" s="25"/>
      <c r="Z68" s="42">
        <v>0</v>
      </c>
      <c r="AA68" s="42"/>
      <c r="AB68" s="42"/>
      <c r="AC68" s="42"/>
      <c r="AD68" s="42">
        <v>950</v>
      </c>
      <c r="AE68" s="25"/>
      <c r="AF68" s="42"/>
      <c r="AG68" s="42"/>
      <c r="AH68" s="42"/>
      <c r="AI68" s="25"/>
      <c r="AJ68" s="42"/>
      <c r="AK68" s="42"/>
      <c r="AL68" s="42"/>
      <c r="AM68" s="42"/>
      <c r="AN68" s="42"/>
      <c r="AO68" s="42"/>
      <c r="AP68" s="42"/>
      <c r="AQ68" s="42"/>
    </row>
    <row r="69" spans="1:43" s="45" customFormat="1" outlineLevel="1" x14ac:dyDescent="0.35">
      <c r="B69" s="25"/>
      <c r="C69" s="42"/>
      <c r="D69" s="42"/>
      <c r="E69" s="42"/>
      <c r="F69" s="42"/>
      <c r="G69" s="42"/>
      <c r="H69" s="42"/>
      <c r="I69" s="25"/>
      <c r="J69" s="42"/>
      <c r="K69" s="42"/>
      <c r="L69" s="42"/>
      <c r="M69" s="42"/>
      <c r="N69" s="42"/>
      <c r="O69" s="42"/>
      <c r="P69" s="42"/>
      <c r="Q69" s="25"/>
      <c r="R69" s="42"/>
      <c r="S69" s="42"/>
      <c r="T69" s="42"/>
      <c r="U69" s="42"/>
      <c r="V69" s="42"/>
      <c r="W69" s="42"/>
      <c r="X69" s="42"/>
      <c r="Y69" s="25"/>
      <c r="Z69" s="42"/>
      <c r="AA69" s="42"/>
      <c r="AB69" s="42"/>
      <c r="AC69" s="42"/>
      <c r="AD69" s="42"/>
      <c r="AE69" s="25"/>
      <c r="AF69" s="42"/>
      <c r="AG69" s="42"/>
      <c r="AH69" s="42"/>
      <c r="AI69" s="25"/>
      <c r="AJ69" s="42"/>
      <c r="AK69" s="42"/>
      <c r="AL69" s="42"/>
      <c r="AM69" s="42"/>
      <c r="AN69" s="42"/>
      <c r="AO69" s="42"/>
      <c r="AP69" s="42"/>
      <c r="AQ69" s="42"/>
    </row>
    <row r="70" spans="1:43" s="45" customFormat="1" outlineLevel="1" x14ac:dyDescent="0.35">
      <c r="B70" s="25"/>
      <c r="C70" s="42"/>
      <c r="D70" s="42"/>
      <c r="E70" s="42"/>
      <c r="F70" s="42"/>
      <c r="G70" s="42"/>
      <c r="H70" s="42"/>
      <c r="I70" s="25"/>
      <c r="J70" s="42"/>
      <c r="K70" s="42"/>
      <c r="L70" s="42"/>
      <c r="M70" s="42"/>
      <c r="N70" s="42"/>
      <c r="O70" s="42"/>
      <c r="P70" s="42"/>
      <c r="Q70" s="25"/>
      <c r="R70" s="42"/>
      <c r="S70" s="42"/>
      <c r="T70" s="42"/>
      <c r="U70" s="42"/>
      <c r="V70" s="42"/>
      <c r="W70" s="42"/>
      <c r="X70" s="42"/>
      <c r="Y70" s="25"/>
      <c r="Z70" s="42"/>
      <c r="AA70" s="42"/>
      <c r="AB70" s="42"/>
      <c r="AC70" s="42"/>
      <c r="AD70" s="42"/>
      <c r="AE70" s="25"/>
      <c r="AF70" s="42"/>
      <c r="AG70" s="42"/>
      <c r="AH70" s="42"/>
      <c r="AI70" s="25"/>
      <c r="AJ70" s="42"/>
      <c r="AK70" s="42"/>
      <c r="AL70" s="42"/>
      <c r="AM70" s="42"/>
      <c r="AN70" s="42"/>
      <c r="AO70" s="42"/>
      <c r="AP70" s="42"/>
      <c r="AQ70" s="42"/>
    </row>
    <row r="71" spans="1:43" s="19" customFormat="1" x14ac:dyDescent="0.35">
      <c r="A71" s="19" t="s">
        <v>91</v>
      </c>
      <c r="B71" s="9"/>
      <c r="C71" s="20"/>
      <c r="D71" s="43"/>
      <c r="E71" s="20"/>
      <c r="F71" s="20"/>
      <c r="G71" s="20"/>
      <c r="H71" s="47"/>
      <c r="I71" s="9"/>
      <c r="J71" s="20"/>
      <c r="K71" s="20"/>
      <c r="L71" s="20"/>
      <c r="M71" s="20"/>
      <c r="N71" s="20"/>
      <c r="O71" s="20"/>
      <c r="P71" s="20"/>
      <c r="Q71" s="9"/>
      <c r="R71" s="43"/>
      <c r="S71" s="43"/>
      <c r="T71" s="47"/>
      <c r="U71" s="47"/>
      <c r="V71" s="43"/>
      <c r="W71" s="43"/>
      <c r="X71" s="43"/>
      <c r="Y71" s="9"/>
      <c r="Z71" s="43"/>
      <c r="AA71" s="43"/>
      <c r="AB71" s="43"/>
      <c r="AC71" s="43"/>
      <c r="AD71" s="43"/>
      <c r="AE71" s="9"/>
      <c r="AF71" s="43"/>
      <c r="AG71" s="43"/>
      <c r="AH71" s="43"/>
      <c r="AI71" s="9"/>
      <c r="AJ71" s="43"/>
      <c r="AK71" s="43"/>
      <c r="AL71" s="43"/>
      <c r="AM71" s="43"/>
      <c r="AN71" s="43"/>
      <c r="AO71" s="43"/>
      <c r="AP71" s="43"/>
      <c r="AQ71" s="43"/>
    </row>
    <row r="72" spans="1:43" s="45" customFormat="1" outlineLevel="1" x14ac:dyDescent="0.35">
      <c r="B72" s="25"/>
      <c r="C72" s="42"/>
      <c r="D72" s="42"/>
      <c r="E72" s="42"/>
      <c r="F72" s="42"/>
      <c r="G72" s="42">
        <v>0</v>
      </c>
      <c r="H72" s="42">
        <v>0</v>
      </c>
      <c r="I72" s="25"/>
      <c r="J72" s="42"/>
      <c r="K72" s="42"/>
      <c r="L72" s="42"/>
      <c r="M72" s="42"/>
      <c r="N72" s="42"/>
      <c r="O72" s="42">
        <f>IF(O9&gt;0,25,0)</f>
        <v>0</v>
      </c>
      <c r="P72" s="42"/>
      <c r="Q72" s="25"/>
      <c r="R72" s="42"/>
      <c r="S72" s="42">
        <v>0</v>
      </c>
      <c r="T72" s="42">
        <v>0</v>
      </c>
      <c r="U72" s="42">
        <f>IF(U9&gt;0,10,0)</f>
        <v>0</v>
      </c>
      <c r="V72" s="42"/>
      <c r="W72" s="42"/>
      <c r="X72" s="42"/>
      <c r="Y72" s="25"/>
      <c r="Z72" s="100">
        <v>0</v>
      </c>
      <c r="AA72" s="42">
        <v>0</v>
      </c>
      <c r="AB72" s="42"/>
      <c r="AC72" s="42">
        <v>0</v>
      </c>
      <c r="AD72" s="42">
        <v>0</v>
      </c>
      <c r="AE72" s="25"/>
      <c r="AF72" s="42">
        <v>0</v>
      </c>
      <c r="AG72" s="42"/>
      <c r="AH72" s="42"/>
      <c r="AI72" s="25"/>
      <c r="AJ72" s="42"/>
      <c r="AK72" s="42"/>
      <c r="AL72" s="42">
        <v>0</v>
      </c>
      <c r="AM72" s="42"/>
      <c r="AN72" s="42"/>
      <c r="AO72" s="42"/>
      <c r="AP72" s="42"/>
      <c r="AQ72" s="42"/>
    </row>
    <row r="73" spans="1:43" s="45" customFormat="1" outlineLevel="1" x14ac:dyDescent="0.35">
      <c r="B73" s="25"/>
      <c r="C73" s="42"/>
      <c r="D73" s="42"/>
      <c r="E73" s="42"/>
      <c r="F73" s="42"/>
      <c r="G73" s="42">
        <v>0</v>
      </c>
      <c r="H73" s="42">
        <v>25</v>
      </c>
      <c r="I73" s="25"/>
      <c r="J73" s="42"/>
      <c r="K73" s="42"/>
      <c r="L73" s="42"/>
      <c r="M73" s="42"/>
      <c r="N73" s="42"/>
      <c r="O73" s="42"/>
      <c r="P73" s="42">
        <v>25</v>
      </c>
      <c r="Q73" s="25"/>
      <c r="R73" s="42"/>
      <c r="S73" s="42">
        <v>5</v>
      </c>
      <c r="T73" s="42">
        <v>5</v>
      </c>
      <c r="U73" s="42"/>
      <c r="V73" s="42">
        <v>20</v>
      </c>
      <c r="W73" s="42">
        <v>5</v>
      </c>
      <c r="X73" s="42"/>
      <c r="Y73" s="25"/>
      <c r="Z73" s="42">
        <v>5</v>
      </c>
      <c r="AA73" s="42">
        <v>10</v>
      </c>
      <c r="AB73" s="42">
        <v>10</v>
      </c>
      <c r="AC73" s="42">
        <v>10</v>
      </c>
      <c r="AD73" s="45">
        <v>25</v>
      </c>
      <c r="AE73" s="25"/>
      <c r="AF73" s="42">
        <v>100</v>
      </c>
      <c r="AG73" s="42">
        <v>75</v>
      </c>
      <c r="AH73" s="42">
        <v>175</v>
      </c>
      <c r="AI73" s="25"/>
      <c r="AJ73" s="42"/>
      <c r="AK73" s="42"/>
      <c r="AL73" s="42">
        <v>100</v>
      </c>
      <c r="AM73" s="42"/>
      <c r="AN73" s="42">
        <v>25</v>
      </c>
      <c r="AO73" s="42"/>
      <c r="AP73" s="42"/>
      <c r="AQ73" s="42"/>
    </row>
    <row r="74" spans="1:43" s="45" customFormat="1" outlineLevel="1" x14ac:dyDescent="0.35">
      <c r="B74" s="25"/>
      <c r="C74" s="42"/>
      <c r="D74" s="42"/>
      <c r="E74" s="42"/>
      <c r="F74" s="42"/>
      <c r="G74" s="42">
        <v>0</v>
      </c>
      <c r="H74" s="42">
        <v>25</v>
      </c>
      <c r="I74" s="25"/>
      <c r="J74" s="42"/>
      <c r="K74" s="42"/>
      <c r="L74" s="42"/>
      <c r="M74" s="42"/>
      <c r="N74" s="42"/>
      <c r="O74" s="42"/>
      <c r="P74" s="42">
        <v>50</v>
      </c>
      <c r="Q74" s="25"/>
      <c r="R74" s="42"/>
      <c r="S74" s="42">
        <v>10</v>
      </c>
      <c r="T74" s="42">
        <v>5</v>
      </c>
      <c r="U74" s="42"/>
      <c r="V74" s="42">
        <v>20</v>
      </c>
      <c r="W74" s="42">
        <v>10</v>
      </c>
      <c r="X74" s="42"/>
      <c r="Y74" s="25"/>
      <c r="Z74" s="42">
        <v>5</v>
      </c>
      <c r="AA74" s="42">
        <v>20</v>
      </c>
      <c r="AB74" s="42"/>
      <c r="AC74" s="42">
        <v>20</v>
      </c>
      <c r="AD74" s="42">
        <v>0</v>
      </c>
      <c r="AE74" s="25"/>
      <c r="AF74" s="42"/>
      <c r="AG74" s="42">
        <v>75</v>
      </c>
      <c r="AH74" s="42">
        <v>225</v>
      </c>
      <c r="AI74" s="25"/>
      <c r="AJ74" s="42"/>
      <c r="AK74" s="42"/>
      <c r="AL74" s="42"/>
      <c r="AM74" s="42"/>
      <c r="AN74" s="42"/>
      <c r="AO74" s="42"/>
      <c r="AP74" s="42"/>
      <c r="AQ74" s="42"/>
    </row>
    <row r="75" spans="1:43" s="45" customFormat="1" outlineLevel="1" x14ac:dyDescent="0.35">
      <c r="B75" s="25"/>
      <c r="C75" s="42"/>
      <c r="D75" s="42"/>
      <c r="E75" s="42"/>
      <c r="F75" s="42"/>
      <c r="G75" s="42">
        <v>0</v>
      </c>
      <c r="H75" s="42">
        <v>25</v>
      </c>
      <c r="I75" s="25"/>
      <c r="J75" s="42"/>
      <c r="K75" s="42"/>
      <c r="L75" s="42"/>
      <c r="M75" s="42"/>
      <c r="N75" s="42"/>
      <c r="O75" s="42"/>
      <c r="P75" s="42">
        <v>75</v>
      </c>
      <c r="Q75" s="25"/>
      <c r="R75" s="42"/>
      <c r="S75" s="42"/>
      <c r="T75" s="42">
        <v>5</v>
      </c>
      <c r="U75" s="42"/>
      <c r="V75" s="42">
        <v>20</v>
      </c>
      <c r="W75" s="42"/>
      <c r="X75" s="42"/>
      <c r="Y75" s="25"/>
      <c r="Z75" s="42">
        <v>5</v>
      </c>
      <c r="AA75" s="42"/>
      <c r="AB75" s="42"/>
      <c r="AC75" s="42"/>
      <c r="AD75" s="42">
        <v>0</v>
      </c>
      <c r="AE75" s="25"/>
      <c r="AF75" s="42"/>
      <c r="AG75" s="42">
        <v>75</v>
      </c>
      <c r="AH75" s="42"/>
      <c r="AI75" s="25"/>
      <c r="AJ75" s="42"/>
      <c r="AK75" s="42">
        <v>100</v>
      </c>
      <c r="AL75" s="42"/>
      <c r="AM75" s="42"/>
      <c r="AN75" s="42"/>
      <c r="AO75" s="42"/>
      <c r="AP75" s="42"/>
      <c r="AQ75" s="42"/>
    </row>
    <row r="76" spans="1:43" s="45" customFormat="1" outlineLevel="1" x14ac:dyDescent="0.35">
      <c r="B76" s="25"/>
      <c r="C76" s="42"/>
      <c r="D76" s="42"/>
      <c r="E76" s="42"/>
      <c r="F76" s="42"/>
      <c r="G76" s="42">
        <v>25</v>
      </c>
      <c r="H76" s="42">
        <v>25</v>
      </c>
      <c r="I76" s="25"/>
      <c r="J76" s="42"/>
      <c r="K76" s="42"/>
      <c r="L76" s="42"/>
      <c r="M76" s="42"/>
      <c r="N76" s="42"/>
      <c r="O76" s="42"/>
      <c r="P76" s="42"/>
      <c r="Q76" s="25"/>
      <c r="R76" s="42"/>
      <c r="S76" s="42"/>
      <c r="T76" s="42">
        <v>5</v>
      </c>
      <c r="U76" s="42"/>
      <c r="V76" s="42">
        <v>20</v>
      </c>
      <c r="W76" s="42"/>
      <c r="X76" s="42"/>
      <c r="Y76" s="25"/>
      <c r="Z76" s="42">
        <v>5</v>
      </c>
      <c r="AA76" s="42"/>
      <c r="AB76" s="42"/>
      <c r="AC76" s="42"/>
      <c r="AD76" s="42">
        <v>0</v>
      </c>
      <c r="AE76" s="25"/>
      <c r="AF76" s="42"/>
      <c r="AG76" s="42">
        <v>75</v>
      </c>
      <c r="AH76" s="42"/>
      <c r="AI76" s="25"/>
      <c r="AJ76" s="42"/>
      <c r="AK76" s="42">
        <v>100</v>
      </c>
      <c r="AL76" s="42"/>
      <c r="AM76" s="42"/>
      <c r="AN76" s="42"/>
      <c r="AO76" s="42"/>
      <c r="AP76" s="42"/>
      <c r="AQ76" s="42"/>
    </row>
    <row r="77" spans="1:43" s="45" customFormat="1" outlineLevel="1" x14ac:dyDescent="0.35">
      <c r="B77" s="25"/>
      <c r="C77" s="42"/>
      <c r="D77" s="42"/>
      <c r="E77" s="42"/>
      <c r="F77" s="42"/>
      <c r="G77" s="42">
        <v>25</v>
      </c>
      <c r="H77" s="42">
        <v>25</v>
      </c>
      <c r="I77" s="25"/>
      <c r="J77" s="42"/>
      <c r="K77" s="42"/>
      <c r="L77" s="42"/>
      <c r="M77" s="42"/>
      <c r="N77" s="42"/>
      <c r="O77" s="42"/>
      <c r="P77" s="42"/>
      <c r="Q77" s="25"/>
      <c r="R77" s="42"/>
      <c r="S77" s="42"/>
      <c r="T77" s="42">
        <v>5</v>
      </c>
      <c r="U77" s="42"/>
      <c r="V77" s="42"/>
      <c r="W77" s="42"/>
      <c r="X77" s="42"/>
      <c r="Y77" s="25"/>
      <c r="Z77" s="42">
        <v>5</v>
      </c>
      <c r="AA77" s="42"/>
      <c r="AB77" s="42"/>
      <c r="AC77" s="42"/>
      <c r="AD77" s="42">
        <v>0</v>
      </c>
      <c r="AE77" s="25"/>
      <c r="AF77" s="42"/>
      <c r="AG77" s="42"/>
      <c r="AH77" s="42"/>
      <c r="AI77" s="25"/>
      <c r="AJ77" s="42"/>
      <c r="AK77" s="42">
        <v>100</v>
      </c>
      <c r="AL77" s="42"/>
      <c r="AM77" s="42"/>
      <c r="AN77" s="42"/>
      <c r="AO77" s="42"/>
      <c r="AP77" s="42"/>
      <c r="AQ77" s="42"/>
    </row>
    <row r="78" spans="1:43" s="45" customFormat="1" outlineLevel="1" x14ac:dyDescent="0.35">
      <c r="B78" s="25"/>
      <c r="C78" s="42"/>
      <c r="D78" s="42"/>
      <c r="E78" s="42"/>
      <c r="F78" s="42"/>
      <c r="G78" s="42">
        <v>20</v>
      </c>
      <c r="H78" s="42">
        <v>25</v>
      </c>
      <c r="I78" s="25"/>
      <c r="J78" s="42"/>
      <c r="K78" s="42"/>
      <c r="L78" s="42"/>
      <c r="M78" s="42"/>
      <c r="N78" s="42"/>
      <c r="O78" s="42"/>
      <c r="P78" s="42"/>
      <c r="Q78" s="25"/>
      <c r="R78" s="42"/>
      <c r="S78" s="42"/>
      <c r="T78" s="42">
        <v>8</v>
      </c>
      <c r="U78" s="42"/>
      <c r="V78" s="42"/>
      <c r="W78" s="42"/>
      <c r="X78" s="42"/>
      <c r="Y78" s="25"/>
      <c r="Z78" s="42">
        <v>5</v>
      </c>
      <c r="AA78" s="42"/>
      <c r="AB78" s="42"/>
      <c r="AC78" s="42"/>
      <c r="AD78" s="42">
        <v>0</v>
      </c>
      <c r="AE78" s="25"/>
      <c r="AF78" s="42"/>
      <c r="AG78" s="42"/>
      <c r="AH78" s="42"/>
      <c r="AI78" s="25"/>
      <c r="AJ78" s="42"/>
      <c r="AK78" s="42"/>
      <c r="AL78" s="42"/>
      <c r="AM78" s="42"/>
      <c r="AN78" s="42"/>
      <c r="AO78" s="42"/>
      <c r="AP78" s="42"/>
      <c r="AQ78" s="42"/>
    </row>
    <row r="79" spans="1:43" s="45" customFormat="1" outlineLevel="1" x14ac:dyDescent="0.35">
      <c r="B79" s="25"/>
      <c r="C79" s="42"/>
      <c r="D79" s="42"/>
      <c r="E79" s="42"/>
      <c r="F79" s="42"/>
      <c r="G79" s="42">
        <v>50</v>
      </c>
      <c r="H79" s="42">
        <v>25</v>
      </c>
      <c r="I79" s="25"/>
      <c r="J79" s="42"/>
      <c r="K79" s="42"/>
      <c r="L79" s="42"/>
      <c r="M79" s="42"/>
      <c r="N79" s="42"/>
      <c r="O79" s="42"/>
      <c r="P79" s="42"/>
      <c r="Q79" s="25"/>
      <c r="R79" s="42"/>
      <c r="S79" s="42"/>
      <c r="T79" s="42">
        <v>10</v>
      </c>
      <c r="U79" s="42"/>
      <c r="V79" s="42"/>
      <c r="W79" s="42"/>
      <c r="X79" s="42"/>
      <c r="Y79" s="25"/>
      <c r="Z79" s="42">
        <v>5</v>
      </c>
      <c r="AA79" s="42"/>
      <c r="AB79" s="42"/>
      <c r="AC79" s="42"/>
      <c r="AD79" s="42">
        <v>0</v>
      </c>
      <c r="AE79" s="25"/>
      <c r="AF79" s="42"/>
      <c r="AG79" s="42"/>
      <c r="AH79" s="42"/>
      <c r="AI79" s="25"/>
      <c r="AJ79" s="42"/>
      <c r="AK79" s="42"/>
      <c r="AL79" s="42"/>
      <c r="AM79" s="42"/>
      <c r="AN79" s="42"/>
      <c r="AO79" s="42"/>
      <c r="AP79" s="42"/>
      <c r="AQ79" s="42"/>
    </row>
    <row r="80" spans="1:43" s="45" customFormat="1" outlineLevel="1" x14ac:dyDescent="0.35">
      <c r="B80" s="25"/>
      <c r="C80" s="42"/>
      <c r="D80" s="42"/>
      <c r="E80" s="42"/>
      <c r="F80" s="42"/>
      <c r="G80" s="42">
        <v>20</v>
      </c>
      <c r="H80" s="42">
        <v>25</v>
      </c>
      <c r="I80" s="25"/>
      <c r="J80" s="42"/>
      <c r="K80" s="42"/>
      <c r="L80" s="42"/>
      <c r="M80" s="42"/>
      <c r="N80" s="42"/>
      <c r="O80" s="42"/>
      <c r="P80" s="42"/>
      <c r="Q80" s="25"/>
      <c r="R80" s="42"/>
      <c r="S80" s="42"/>
      <c r="T80" s="42"/>
      <c r="U80" s="42"/>
      <c r="V80" s="42"/>
      <c r="W80" s="42"/>
      <c r="X80" s="42"/>
      <c r="Y80" s="25"/>
      <c r="Z80" s="42">
        <v>5</v>
      </c>
      <c r="AA80" s="42"/>
      <c r="AB80" s="42"/>
      <c r="AC80" s="42"/>
      <c r="AD80" s="42">
        <v>0</v>
      </c>
      <c r="AE80" s="25"/>
      <c r="AF80" s="42"/>
      <c r="AG80" s="42"/>
      <c r="AH80" s="42"/>
      <c r="AI80" s="25"/>
      <c r="AJ80" s="42"/>
      <c r="AK80" s="42"/>
      <c r="AL80" s="42"/>
      <c r="AM80" s="42"/>
      <c r="AN80" s="42"/>
      <c r="AO80" s="42"/>
      <c r="AP80" s="42"/>
      <c r="AQ80" s="42"/>
    </row>
    <row r="81" spans="1:43" s="45" customFormat="1" outlineLevel="1" x14ac:dyDescent="0.35">
      <c r="B81" s="25"/>
      <c r="C81" s="42"/>
      <c r="D81" s="42"/>
      <c r="E81" s="42"/>
      <c r="F81" s="42"/>
      <c r="G81" s="42"/>
      <c r="H81" s="42">
        <v>25</v>
      </c>
      <c r="I81" s="25"/>
      <c r="J81" s="42"/>
      <c r="K81" s="42"/>
      <c r="L81" s="42"/>
      <c r="M81" s="42"/>
      <c r="N81" s="42"/>
      <c r="O81" s="42"/>
      <c r="P81" s="42"/>
      <c r="Q81" s="25"/>
      <c r="R81" s="42"/>
      <c r="S81" s="42"/>
      <c r="T81" s="42"/>
      <c r="U81" s="42"/>
      <c r="V81" s="42"/>
      <c r="W81" s="42"/>
      <c r="X81" s="42"/>
      <c r="Y81" s="25"/>
      <c r="Z81" s="42">
        <v>0</v>
      </c>
      <c r="AA81" s="42"/>
      <c r="AB81" s="42"/>
      <c r="AC81" s="42"/>
      <c r="AD81" s="42">
        <v>0</v>
      </c>
      <c r="AE81" s="25"/>
      <c r="AF81" s="42"/>
      <c r="AG81" s="42"/>
      <c r="AH81" s="42"/>
      <c r="AI81" s="25"/>
      <c r="AJ81" s="42"/>
      <c r="AK81" s="42"/>
      <c r="AL81" s="42"/>
      <c r="AM81" s="42"/>
      <c r="AN81" s="42"/>
      <c r="AO81" s="42"/>
      <c r="AP81" s="42"/>
      <c r="AQ81" s="42"/>
    </row>
    <row r="82" spans="1:43" s="45" customFormat="1" outlineLevel="1" x14ac:dyDescent="0.35">
      <c r="B82" s="25"/>
      <c r="C82" s="42"/>
      <c r="D82" s="42"/>
      <c r="E82" s="42"/>
      <c r="F82" s="42"/>
      <c r="G82" s="42"/>
      <c r="H82" s="42">
        <v>25</v>
      </c>
      <c r="I82" s="25"/>
      <c r="J82" s="42"/>
      <c r="K82" s="42"/>
      <c r="L82" s="42"/>
      <c r="M82" s="42"/>
      <c r="N82" s="42"/>
      <c r="O82" s="42"/>
      <c r="P82" s="42"/>
      <c r="Q82" s="25"/>
      <c r="R82" s="42"/>
      <c r="S82" s="42"/>
      <c r="T82" s="42"/>
      <c r="U82" s="42"/>
      <c r="V82" s="42"/>
      <c r="W82" s="42"/>
      <c r="X82" s="42"/>
      <c r="Y82" s="25"/>
      <c r="Z82" s="42"/>
      <c r="AA82" s="42"/>
      <c r="AB82" s="42"/>
      <c r="AC82" s="42"/>
      <c r="AD82" s="42"/>
      <c r="AE82" s="25"/>
      <c r="AF82" s="42"/>
      <c r="AG82" s="42"/>
      <c r="AH82" s="42"/>
      <c r="AI82" s="25"/>
      <c r="AJ82" s="42"/>
      <c r="AK82" s="42"/>
      <c r="AL82" s="42"/>
      <c r="AM82" s="42"/>
      <c r="AN82" s="42"/>
      <c r="AO82" s="42"/>
      <c r="AP82" s="42"/>
      <c r="AQ82" s="42"/>
    </row>
    <row r="83" spans="1:43" s="45" customFormat="1" outlineLevel="1" x14ac:dyDescent="0.35">
      <c r="B83" s="25"/>
      <c r="C83" s="42"/>
      <c r="D83" s="42"/>
      <c r="E83" s="42"/>
      <c r="F83" s="42"/>
      <c r="G83" s="42"/>
      <c r="H83" s="42"/>
      <c r="I83" s="25"/>
      <c r="J83" s="42"/>
      <c r="K83" s="42"/>
      <c r="L83" s="42"/>
      <c r="M83" s="42"/>
      <c r="N83" s="42"/>
      <c r="O83" s="42"/>
      <c r="P83" s="42"/>
      <c r="Q83" s="25"/>
      <c r="R83" s="42"/>
      <c r="S83" s="42"/>
      <c r="T83" s="42"/>
      <c r="U83" s="42"/>
      <c r="V83" s="42"/>
      <c r="W83" s="42"/>
      <c r="X83" s="42"/>
      <c r="Y83" s="25"/>
      <c r="Z83" s="42"/>
      <c r="AA83" s="42"/>
      <c r="AB83" s="42"/>
      <c r="AC83" s="42"/>
      <c r="AD83" s="42"/>
      <c r="AE83" s="25"/>
      <c r="AF83" s="42"/>
      <c r="AG83" s="42"/>
      <c r="AH83" s="42"/>
      <c r="AI83" s="25"/>
      <c r="AJ83" s="42"/>
      <c r="AK83" s="42"/>
      <c r="AL83" s="42"/>
      <c r="AM83" s="42"/>
      <c r="AN83" s="42"/>
      <c r="AO83" s="42"/>
      <c r="AP83" s="42"/>
      <c r="AQ83" s="42"/>
    </row>
    <row r="84" spans="1:43" s="19" customFormat="1" x14ac:dyDescent="0.35">
      <c r="A84" s="19" t="s">
        <v>4</v>
      </c>
      <c r="B84" s="9"/>
      <c r="C84" s="20"/>
      <c r="D84" s="43"/>
      <c r="E84" s="20"/>
      <c r="F84" s="20"/>
      <c r="G84" s="20"/>
      <c r="H84" s="47"/>
      <c r="I84" s="9"/>
      <c r="J84" s="20"/>
      <c r="K84" s="20"/>
      <c r="L84" s="20"/>
      <c r="M84" s="20"/>
      <c r="N84" s="20"/>
      <c r="O84" s="20"/>
      <c r="P84" s="20"/>
      <c r="Q84" s="9"/>
      <c r="R84" s="43"/>
      <c r="S84" s="43"/>
      <c r="T84" s="43"/>
      <c r="U84" s="43"/>
      <c r="V84" s="43"/>
      <c r="W84" s="43"/>
      <c r="X84" s="43"/>
      <c r="Y84" s="9"/>
      <c r="Z84" s="43"/>
      <c r="AA84" s="43"/>
      <c r="AB84" s="43"/>
      <c r="AC84" s="43"/>
      <c r="AD84" s="43"/>
      <c r="AE84" s="9"/>
      <c r="AF84" s="43"/>
      <c r="AG84" s="43"/>
      <c r="AH84" s="43"/>
      <c r="AI84" s="9"/>
      <c r="AJ84" s="43"/>
      <c r="AK84" s="43"/>
      <c r="AL84" s="43"/>
      <c r="AM84" s="43"/>
      <c r="AN84" s="43"/>
      <c r="AO84" s="43"/>
      <c r="AP84" s="43"/>
      <c r="AQ84" s="43"/>
    </row>
    <row r="85" spans="1:43" s="46" customFormat="1" outlineLevel="1" x14ac:dyDescent="0.35">
      <c r="B85" s="29"/>
      <c r="C85" s="44"/>
      <c r="D85" s="44">
        <v>0</v>
      </c>
      <c r="E85" s="44"/>
      <c r="F85" s="44">
        <v>0.1</v>
      </c>
      <c r="G85" s="44"/>
      <c r="H85" s="44"/>
      <c r="I85" s="29"/>
      <c r="J85" s="44"/>
      <c r="K85" s="44"/>
      <c r="L85" s="44"/>
      <c r="M85" s="44"/>
      <c r="N85" s="44"/>
      <c r="O85" s="44">
        <v>0.02</v>
      </c>
      <c r="P85" s="44"/>
      <c r="Q85" s="29"/>
      <c r="R85" s="44">
        <v>0</v>
      </c>
      <c r="S85" s="44"/>
      <c r="T85" s="44"/>
      <c r="U85" s="44"/>
      <c r="V85" s="44"/>
      <c r="W85" s="44"/>
      <c r="X85" s="44"/>
      <c r="Y85" s="29"/>
      <c r="Z85" s="101">
        <v>0</v>
      </c>
      <c r="AA85" s="44"/>
      <c r="AB85" s="44"/>
      <c r="AC85" s="44"/>
      <c r="AD85" s="44">
        <v>0</v>
      </c>
      <c r="AE85" s="29"/>
      <c r="AF85" s="44"/>
      <c r="AG85" s="44"/>
      <c r="AH85" s="44"/>
      <c r="AI85" s="29"/>
      <c r="AJ85" s="44"/>
      <c r="AK85" s="44"/>
      <c r="AL85" s="44"/>
      <c r="AM85" s="44"/>
      <c r="AN85" s="44"/>
      <c r="AO85" s="44"/>
      <c r="AP85" s="44"/>
      <c r="AQ85" s="44"/>
    </row>
    <row r="86" spans="1:43" s="46" customFormat="1" outlineLevel="1" x14ac:dyDescent="0.35">
      <c r="B86" s="29"/>
      <c r="C86" s="44"/>
      <c r="D86" s="44">
        <v>0.02</v>
      </c>
      <c r="E86" s="44"/>
      <c r="F86" s="44">
        <v>0</v>
      </c>
      <c r="G86" s="44"/>
      <c r="H86" s="44"/>
      <c r="I86" s="29"/>
      <c r="J86" s="44"/>
      <c r="K86" s="44"/>
      <c r="L86" s="44"/>
      <c r="M86" s="44"/>
      <c r="N86" s="44"/>
      <c r="O86" s="44"/>
      <c r="P86" s="44"/>
      <c r="Q86" s="29"/>
      <c r="R86" s="44">
        <v>0</v>
      </c>
      <c r="S86" s="44"/>
      <c r="T86" s="44"/>
      <c r="U86" s="44"/>
      <c r="V86" s="44"/>
      <c r="W86" s="44"/>
      <c r="X86" s="44"/>
      <c r="Y86" s="29"/>
      <c r="Z86" s="102">
        <v>0</v>
      </c>
      <c r="AA86" s="44"/>
      <c r="AB86" s="44"/>
      <c r="AC86" s="44"/>
      <c r="AD86" s="46">
        <v>0.02</v>
      </c>
      <c r="AE86" s="29"/>
      <c r="AF86" s="44"/>
      <c r="AG86" s="44"/>
      <c r="AH86" s="44"/>
      <c r="AI86" s="29"/>
      <c r="AJ86" s="44"/>
      <c r="AK86" s="44">
        <v>0.1</v>
      </c>
      <c r="AL86" s="44"/>
      <c r="AM86" s="44"/>
      <c r="AN86" s="44">
        <v>0.05</v>
      </c>
      <c r="AO86" s="44">
        <v>0.1</v>
      </c>
      <c r="AP86" s="44"/>
      <c r="AQ86" s="44"/>
    </row>
    <row r="87" spans="1:43" s="46" customFormat="1" outlineLevel="1" x14ac:dyDescent="0.35">
      <c r="B87" s="29"/>
      <c r="C87" s="44"/>
      <c r="D87" s="44">
        <v>0.05</v>
      </c>
      <c r="E87" s="44"/>
      <c r="F87" s="44">
        <v>0.1</v>
      </c>
      <c r="G87" s="44"/>
      <c r="H87" s="44"/>
      <c r="I87" s="29"/>
      <c r="J87" s="44"/>
      <c r="K87" s="44"/>
      <c r="L87" s="44"/>
      <c r="M87" s="44"/>
      <c r="N87" s="44"/>
      <c r="O87" s="44"/>
      <c r="P87" s="44"/>
      <c r="Q87" s="29"/>
      <c r="R87" s="44">
        <v>0</v>
      </c>
      <c r="S87" s="44"/>
      <c r="T87" s="44"/>
      <c r="U87" s="44"/>
      <c r="V87" s="44"/>
      <c r="W87" s="44"/>
      <c r="X87" s="44"/>
      <c r="Y87" s="29"/>
      <c r="Z87" s="102">
        <v>0</v>
      </c>
      <c r="AA87" s="44"/>
      <c r="AB87" s="44"/>
      <c r="AC87" s="44"/>
      <c r="AD87" s="44">
        <v>0.05</v>
      </c>
      <c r="AE87" s="29"/>
      <c r="AF87" s="44"/>
      <c r="AG87" s="44"/>
      <c r="AH87" s="44"/>
      <c r="AI87" s="29"/>
      <c r="AJ87" s="44"/>
      <c r="AK87" s="44">
        <v>0.1</v>
      </c>
      <c r="AL87" s="44"/>
      <c r="AM87" s="44"/>
      <c r="AN87" s="44"/>
      <c r="AO87" s="44"/>
      <c r="AP87" s="44"/>
      <c r="AQ87" s="44"/>
    </row>
    <row r="88" spans="1:43" s="46" customFormat="1" outlineLevel="1" x14ac:dyDescent="0.35">
      <c r="B88" s="29"/>
      <c r="C88" s="44"/>
      <c r="D88" s="44"/>
      <c r="E88" s="44"/>
      <c r="F88" s="44">
        <v>0.15</v>
      </c>
      <c r="G88" s="44"/>
      <c r="H88" s="44"/>
      <c r="I88" s="29"/>
      <c r="J88" s="44"/>
      <c r="K88" s="44"/>
      <c r="L88" s="44"/>
      <c r="M88" s="44"/>
      <c r="N88" s="44"/>
      <c r="O88" s="44"/>
      <c r="P88" s="44"/>
      <c r="Q88" s="29"/>
      <c r="R88" s="44">
        <v>0</v>
      </c>
      <c r="S88" s="44"/>
      <c r="T88" s="44"/>
      <c r="U88" s="44"/>
      <c r="V88" s="44"/>
      <c r="W88" s="44"/>
      <c r="X88" s="44"/>
      <c r="Y88" s="29"/>
      <c r="Z88" s="102">
        <v>0.01</v>
      </c>
      <c r="AA88" s="44"/>
      <c r="AB88" s="44"/>
      <c r="AC88" s="44"/>
      <c r="AD88" s="44">
        <v>0.05</v>
      </c>
      <c r="AE88" s="29"/>
      <c r="AF88" s="44"/>
      <c r="AG88" s="44"/>
      <c r="AH88" s="44"/>
      <c r="AI88" s="29"/>
      <c r="AJ88" s="44"/>
      <c r="AK88" s="44">
        <v>0.1</v>
      </c>
      <c r="AL88" s="44"/>
      <c r="AM88" s="44"/>
      <c r="AN88" s="44"/>
      <c r="AO88" s="44"/>
      <c r="AP88" s="44"/>
      <c r="AQ88" s="44"/>
    </row>
    <row r="89" spans="1:43" s="46" customFormat="1" outlineLevel="1" x14ac:dyDescent="0.35">
      <c r="B89" s="29"/>
      <c r="C89" s="44"/>
      <c r="D89" s="44"/>
      <c r="E89" s="44"/>
      <c r="F89" s="44">
        <v>0.25</v>
      </c>
      <c r="G89" s="44"/>
      <c r="H89" s="44"/>
      <c r="I89" s="29"/>
      <c r="J89" s="44"/>
      <c r="K89" s="44"/>
      <c r="L89" s="44"/>
      <c r="M89" s="44"/>
      <c r="N89" s="44"/>
      <c r="O89" s="44"/>
      <c r="P89" s="44"/>
      <c r="Q89" s="29"/>
      <c r="R89" s="44">
        <v>0</v>
      </c>
      <c r="S89" s="44"/>
      <c r="T89" s="44"/>
      <c r="U89" s="44"/>
      <c r="V89" s="44"/>
      <c r="W89" s="44"/>
      <c r="X89" s="44"/>
      <c r="Y89" s="29"/>
      <c r="Z89" s="102">
        <v>0.01</v>
      </c>
      <c r="AA89" s="44"/>
      <c r="AB89" s="44"/>
      <c r="AC89" s="44"/>
      <c r="AD89" s="44">
        <v>0.1</v>
      </c>
      <c r="AE89" s="29"/>
      <c r="AF89" s="44"/>
      <c r="AG89" s="44"/>
      <c r="AH89" s="44"/>
      <c r="AI89" s="29"/>
      <c r="AJ89" s="44"/>
      <c r="AK89" s="44">
        <v>0.2</v>
      </c>
      <c r="AL89" s="44"/>
      <c r="AM89" s="44"/>
      <c r="AN89" s="44"/>
      <c r="AO89" s="44"/>
      <c r="AP89" s="44"/>
      <c r="AQ89" s="44"/>
    </row>
    <row r="90" spans="1:43" s="46" customFormat="1" outlineLevel="1" x14ac:dyDescent="0.35">
      <c r="B90" s="29"/>
      <c r="C90" s="44"/>
      <c r="D90" s="44"/>
      <c r="E90" s="44"/>
      <c r="F90" s="44"/>
      <c r="G90" s="44"/>
      <c r="H90" s="44"/>
      <c r="I90" s="29"/>
      <c r="J90" s="44"/>
      <c r="K90" s="44"/>
      <c r="L90" s="44"/>
      <c r="M90" s="44"/>
      <c r="N90" s="44"/>
      <c r="O90" s="44"/>
      <c r="P90" s="44"/>
      <c r="Q90" s="29"/>
      <c r="R90" s="44">
        <v>0</v>
      </c>
      <c r="S90" s="44"/>
      <c r="T90" s="44"/>
      <c r="U90" s="44"/>
      <c r="V90" s="44"/>
      <c r="W90" s="44"/>
      <c r="X90" s="44"/>
      <c r="Y90" s="29"/>
      <c r="Z90" s="102">
        <v>0.01</v>
      </c>
      <c r="AA90" s="44"/>
      <c r="AB90" s="44"/>
      <c r="AC90" s="44"/>
      <c r="AD90" s="44">
        <v>0.2</v>
      </c>
      <c r="AE90" s="29"/>
      <c r="AF90" s="44"/>
      <c r="AG90" s="44"/>
      <c r="AH90" s="44"/>
      <c r="AI90" s="29"/>
      <c r="AJ90" s="44"/>
      <c r="AK90" s="44">
        <v>0.2</v>
      </c>
      <c r="AL90" s="44"/>
      <c r="AM90" s="44"/>
      <c r="AN90" s="44"/>
      <c r="AO90" s="44"/>
      <c r="AP90" s="44"/>
      <c r="AQ90" s="44"/>
    </row>
    <row r="91" spans="1:43" s="46" customFormat="1" outlineLevel="1" x14ac:dyDescent="0.35">
      <c r="B91" s="29"/>
      <c r="C91" s="44"/>
      <c r="D91" s="44"/>
      <c r="E91" s="44"/>
      <c r="F91" s="44"/>
      <c r="G91" s="44">
        <v>0.05</v>
      </c>
      <c r="H91" s="44"/>
      <c r="I91" s="29"/>
      <c r="J91" s="44"/>
      <c r="K91" s="44"/>
      <c r="L91" s="44"/>
      <c r="M91" s="44"/>
      <c r="N91" s="44"/>
      <c r="O91" s="44"/>
      <c r="P91" s="44"/>
      <c r="Q91" s="29"/>
      <c r="R91" s="44">
        <f>R25*ups*0.0000025</f>
        <v>0</v>
      </c>
      <c r="S91" s="44"/>
      <c r="T91" s="44"/>
      <c r="U91" s="44"/>
      <c r="V91" s="44"/>
      <c r="W91" s="44"/>
      <c r="X91" s="44"/>
      <c r="Y91" s="29"/>
      <c r="Z91" s="102">
        <v>0</v>
      </c>
      <c r="AA91" s="44"/>
      <c r="AB91" s="44"/>
      <c r="AC91" s="44"/>
      <c r="AD91" s="44">
        <v>0.05</v>
      </c>
      <c r="AE91" s="29"/>
      <c r="AF91" s="44"/>
      <c r="AG91" s="44"/>
      <c r="AH91" s="44"/>
      <c r="AI91" s="29"/>
      <c r="AJ91" s="44"/>
      <c r="AK91" s="44"/>
      <c r="AL91" s="44"/>
      <c r="AM91" s="44"/>
      <c r="AN91" s="44"/>
      <c r="AO91" s="44"/>
      <c r="AP91" s="44"/>
      <c r="AQ91" s="44"/>
    </row>
    <row r="92" spans="1:43" s="46" customFormat="1" outlineLevel="1" x14ac:dyDescent="0.35">
      <c r="B92" s="29"/>
      <c r="C92" s="44"/>
      <c r="D92" s="44"/>
      <c r="E92" s="44"/>
      <c r="F92" s="44"/>
      <c r="G92" s="44">
        <v>0.1</v>
      </c>
      <c r="H92" s="44"/>
      <c r="I92" s="29"/>
      <c r="J92" s="44"/>
      <c r="K92" s="44"/>
      <c r="L92" s="44"/>
      <c r="M92" s="44"/>
      <c r="N92" s="44"/>
      <c r="O92" s="44"/>
      <c r="P92" s="44"/>
      <c r="Q92" s="29"/>
      <c r="R92" s="44">
        <f>R25*ups*0.000005</f>
        <v>0</v>
      </c>
      <c r="S92" s="44"/>
      <c r="T92" s="44"/>
      <c r="U92" s="44"/>
      <c r="V92" s="44"/>
      <c r="W92" s="44"/>
      <c r="X92" s="44"/>
      <c r="Y92" s="29"/>
      <c r="Z92" s="102">
        <v>0</v>
      </c>
      <c r="AA92" s="44"/>
      <c r="AB92" s="44"/>
      <c r="AC92" s="44"/>
      <c r="AD92" s="44">
        <v>0.05</v>
      </c>
      <c r="AE92" s="29"/>
      <c r="AF92" s="44"/>
      <c r="AG92" s="44"/>
      <c r="AH92" s="44"/>
      <c r="AI92" s="29"/>
      <c r="AJ92" s="44"/>
      <c r="AK92" s="44"/>
      <c r="AL92" s="44"/>
      <c r="AM92" s="44"/>
      <c r="AN92" s="44"/>
      <c r="AO92" s="44"/>
      <c r="AP92" s="44"/>
      <c r="AQ92" s="44"/>
    </row>
    <row r="93" spans="1:43" s="46" customFormat="1" outlineLevel="1" x14ac:dyDescent="0.35">
      <c r="B93" s="29"/>
      <c r="C93" s="44"/>
      <c r="D93" s="44"/>
      <c r="E93" s="44"/>
      <c r="F93" s="44"/>
      <c r="G93" s="44">
        <v>0.05</v>
      </c>
      <c r="H93" s="44"/>
      <c r="I93" s="29"/>
      <c r="J93" s="44"/>
      <c r="K93" s="44"/>
      <c r="L93" s="44"/>
      <c r="M93" s="44"/>
      <c r="N93" s="44"/>
      <c r="O93" s="44"/>
      <c r="P93" s="44"/>
      <c r="Q93" s="29"/>
      <c r="R93" s="44">
        <f>R25*ups*0.00001</f>
        <v>0</v>
      </c>
      <c r="S93" s="44"/>
      <c r="T93" s="44"/>
      <c r="U93" s="44"/>
      <c r="V93" s="44"/>
      <c r="W93" s="44"/>
      <c r="X93" s="44"/>
      <c r="Y93" s="29"/>
      <c r="Z93" s="102">
        <v>0</v>
      </c>
      <c r="AA93" s="44"/>
      <c r="AB93" s="44"/>
      <c r="AC93" s="44"/>
      <c r="AD93" s="44">
        <v>0.1</v>
      </c>
      <c r="AE93" s="29"/>
      <c r="AF93" s="44"/>
      <c r="AG93" s="44"/>
      <c r="AH93" s="44"/>
      <c r="AI93" s="29"/>
      <c r="AJ93" s="44"/>
      <c r="AK93" s="44"/>
      <c r="AL93" s="44"/>
      <c r="AM93" s="44"/>
      <c r="AN93" s="44"/>
      <c r="AO93" s="44"/>
      <c r="AP93" s="44"/>
      <c r="AQ93" s="44"/>
    </row>
    <row r="94" spans="1:43" s="46" customFormat="1" outlineLevel="1" x14ac:dyDescent="0.35">
      <c r="B94" s="29"/>
      <c r="C94" s="44"/>
      <c r="D94" s="44"/>
      <c r="E94" s="44"/>
      <c r="F94" s="44"/>
      <c r="G94" s="44"/>
      <c r="H94" s="44"/>
      <c r="I94" s="29"/>
      <c r="J94" s="44"/>
      <c r="K94" s="44"/>
      <c r="L94" s="44"/>
      <c r="M94" s="44"/>
      <c r="N94" s="44"/>
      <c r="O94" s="44"/>
      <c r="P94" s="44"/>
      <c r="Q94" s="29"/>
      <c r="R94" s="44"/>
      <c r="S94" s="44"/>
      <c r="T94" s="44"/>
      <c r="U94" s="44"/>
      <c r="V94" s="44"/>
      <c r="W94" s="44"/>
      <c r="X94" s="44"/>
      <c r="Y94" s="29"/>
      <c r="Z94" s="102">
        <v>0</v>
      </c>
      <c r="AA94" s="44"/>
      <c r="AB94" s="44"/>
      <c r="AC94" s="44"/>
      <c r="AD94" s="44">
        <v>0.2</v>
      </c>
      <c r="AE94" s="29"/>
      <c r="AF94" s="44"/>
      <c r="AG94" s="44"/>
      <c r="AH94" s="44"/>
      <c r="AI94" s="29"/>
      <c r="AJ94" s="44"/>
      <c r="AK94" s="44"/>
      <c r="AL94" s="44"/>
      <c r="AM94" s="44"/>
      <c r="AN94" s="44"/>
      <c r="AO94" s="44"/>
      <c r="AP94" s="44"/>
      <c r="AQ94" s="44"/>
    </row>
    <row r="95" spans="1:43" s="46" customFormat="1" outlineLevel="1" x14ac:dyDescent="0.35">
      <c r="B95" s="29"/>
      <c r="C95" s="44"/>
      <c r="D95" s="44"/>
      <c r="E95" s="44"/>
      <c r="F95" s="44"/>
      <c r="G95" s="44"/>
      <c r="H95" s="44"/>
      <c r="I95" s="29"/>
      <c r="J95" s="44"/>
      <c r="K95" s="44"/>
      <c r="L95" s="44"/>
      <c r="M95" s="44"/>
      <c r="N95" s="44"/>
      <c r="O95" s="44"/>
      <c r="P95" s="44"/>
      <c r="Q95" s="29"/>
      <c r="R95" s="44"/>
      <c r="S95" s="44"/>
      <c r="T95" s="44"/>
      <c r="U95" s="44"/>
      <c r="V95" s="44"/>
      <c r="W95" s="44"/>
      <c r="X95" s="44"/>
      <c r="Y95" s="29"/>
      <c r="Z95" s="44"/>
      <c r="AA95" s="44"/>
      <c r="AB95" s="44"/>
      <c r="AC95" s="44"/>
      <c r="AD95" s="44"/>
      <c r="AE95" s="29"/>
      <c r="AF95" s="44"/>
      <c r="AG95" s="44"/>
      <c r="AH95" s="44"/>
      <c r="AI95" s="29"/>
      <c r="AJ95" s="44"/>
      <c r="AK95" s="44"/>
      <c r="AL95" s="44"/>
      <c r="AM95" s="44"/>
      <c r="AN95" s="44"/>
      <c r="AO95" s="44"/>
      <c r="AP95" s="44"/>
      <c r="AQ95" s="44"/>
    </row>
    <row r="96" spans="1:43" s="46" customFormat="1" outlineLevel="1" x14ac:dyDescent="0.35">
      <c r="B96" s="29"/>
      <c r="C96" s="44"/>
      <c r="D96" s="44"/>
      <c r="E96" s="44"/>
      <c r="F96" s="44"/>
      <c r="G96" s="44"/>
      <c r="H96" s="44"/>
      <c r="I96" s="29"/>
      <c r="J96" s="44"/>
      <c r="K96" s="44"/>
      <c r="L96" s="44"/>
      <c r="M96" s="44"/>
      <c r="N96" s="44"/>
      <c r="O96" s="44"/>
      <c r="P96" s="44"/>
      <c r="Q96" s="29"/>
      <c r="R96" s="44"/>
      <c r="S96" s="44"/>
      <c r="T96" s="44"/>
      <c r="U96" s="44"/>
      <c r="V96" s="44"/>
      <c r="W96" s="44"/>
      <c r="X96" s="44"/>
      <c r="Y96" s="29"/>
      <c r="Z96" s="44"/>
      <c r="AA96" s="44"/>
      <c r="AB96" s="44"/>
      <c r="AC96" s="44"/>
      <c r="AD96" s="44"/>
      <c r="AE96" s="29"/>
      <c r="AF96" s="44"/>
      <c r="AG96" s="44"/>
      <c r="AH96" s="44"/>
      <c r="AI96" s="29"/>
      <c r="AJ96" s="44"/>
      <c r="AK96" s="44"/>
      <c r="AL96" s="44"/>
      <c r="AM96" s="44"/>
      <c r="AN96" s="44"/>
      <c r="AO96" s="44"/>
      <c r="AP96" s="44"/>
      <c r="AQ96" s="44"/>
    </row>
    <row r="97" spans="1:43" s="19" customFormat="1" x14ac:dyDescent="0.35">
      <c r="A97" s="19" t="s">
        <v>129</v>
      </c>
      <c r="B97" s="9"/>
      <c r="C97" s="20"/>
      <c r="D97" s="20"/>
      <c r="E97" s="20"/>
      <c r="F97" s="20"/>
      <c r="G97" s="20"/>
      <c r="H97" s="47"/>
      <c r="I97" s="9"/>
      <c r="J97" s="20"/>
      <c r="K97" s="20"/>
      <c r="L97" s="20"/>
      <c r="M97" s="20"/>
      <c r="N97" s="20"/>
      <c r="O97" s="20"/>
      <c r="P97" s="20"/>
      <c r="Q97" s="9"/>
      <c r="R97" s="43"/>
      <c r="S97" s="43"/>
      <c r="T97" s="43"/>
      <c r="U97" s="43"/>
      <c r="V97" s="43"/>
      <c r="W97" s="43"/>
      <c r="X97" s="43"/>
      <c r="Y97" s="9"/>
      <c r="Z97" s="43"/>
      <c r="AA97" s="43"/>
      <c r="AB97" s="43"/>
      <c r="AC97" s="43"/>
      <c r="AD97" s="43"/>
      <c r="AE97" s="9"/>
      <c r="AF97" s="43"/>
      <c r="AG97" s="43"/>
      <c r="AH97" s="43"/>
      <c r="AI97" s="9"/>
      <c r="AJ97" s="43"/>
      <c r="AK97" s="43"/>
      <c r="AL97" s="43"/>
      <c r="AM97" s="43"/>
      <c r="AN97" s="43"/>
      <c r="AO97" s="43"/>
      <c r="AP97" s="43"/>
      <c r="AQ97" s="43"/>
    </row>
    <row r="98" spans="1:43" s="45" customFormat="1" outlineLevel="1" x14ac:dyDescent="0.35">
      <c r="B98" s="25"/>
      <c r="C98" s="42"/>
      <c r="D98" s="42"/>
      <c r="E98" s="42"/>
      <c r="F98" s="42"/>
      <c r="G98" s="42"/>
      <c r="H98" s="42"/>
      <c r="I98" s="25"/>
      <c r="J98" s="42"/>
      <c r="K98" s="42"/>
      <c r="L98" s="42"/>
      <c r="M98" s="42"/>
      <c r="N98" s="42"/>
      <c r="O98" s="42"/>
      <c r="P98" s="42"/>
      <c r="Q98" s="25"/>
      <c r="R98" s="42"/>
      <c r="S98" s="42"/>
      <c r="T98" s="42"/>
      <c r="U98" s="42"/>
      <c r="V98" s="42"/>
      <c r="W98" s="42"/>
      <c r="X98" s="42"/>
      <c r="Y98" s="25"/>
      <c r="Z98" s="42">
        <f>CHOOSE($Z$25,10,20,10,20,0)</f>
        <v>20</v>
      </c>
      <c r="AA98" s="42">
        <v>0</v>
      </c>
      <c r="AB98" s="42"/>
      <c r="AC98" s="42">
        <v>0</v>
      </c>
      <c r="AD98" s="42">
        <v>0</v>
      </c>
      <c r="AE98" s="25"/>
      <c r="AF98" s="42"/>
      <c r="AG98" s="42"/>
      <c r="AH98" s="42">
        <f>INDEX(Sheet3!$H$22:$H$26,Quote!$B$15)</f>
        <v>0</v>
      </c>
      <c r="AI98" s="25"/>
      <c r="AJ98" s="42">
        <f>HLOOKUP(INDEX($C$10:$C$24,$C$9,1),Sheet3!$C$1:$Q$14,11,FALSE)+IF(Quote!C58="",IF(Arrays_per_panel&lt;4,HLOOKUP(INDEX($C$10:$C$24,$C$9,1),Sheet3!$C$1:$Q$15,15,FALSE)),0)</f>
        <v>110</v>
      </c>
      <c r="AK98" s="42"/>
      <c r="AL98" s="42">
        <v>0</v>
      </c>
      <c r="AM98" s="42">
        <v>0</v>
      </c>
      <c r="AN98" s="42"/>
      <c r="AO98" s="42"/>
      <c r="AP98" s="42"/>
      <c r="AQ98" s="42"/>
    </row>
    <row r="99" spans="1:43" s="45" customFormat="1" outlineLevel="1" x14ac:dyDescent="0.35">
      <c r="B99" s="25"/>
      <c r="C99" s="42"/>
      <c r="D99" s="42"/>
      <c r="E99" s="42"/>
      <c r="F99" s="42"/>
      <c r="G99" s="42"/>
      <c r="H99" s="42">
        <v>25</v>
      </c>
      <c r="I99" s="25"/>
      <c r="J99" s="42"/>
      <c r="K99" s="42"/>
      <c r="L99" s="42"/>
      <c r="M99" s="42"/>
      <c r="N99" s="42"/>
      <c r="O99" s="42"/>
      <c r="P99" s="42"/>
      <c r="Q99" s="25"/>
      <c r="R99" s="42"/>
      <c r="S99" s="42"/>
      <c r="T99" s="42">
        <v>10</v>
      </c>
      <c r="U99" s="42"/>
      <c r="V99" s="42">
        <v>10</v>
      </c>
      <c r="W99" s="42">
        <v>10</v>
      </c>
      <c r="X99" s="42"/>
      <c r="Y99" s="25"/>
      <c r="Z99" s="42">
        <f t="shared" ref="Z99:Z106" si="16">CHOOSE($Z$25,10,20,10,20,0)</f>
        <v>20</v>
      </c>
      <c r="AA99" s="42">
        <v>10</v>
      </c>
      <c r="AB99" s="42">
        <v>10</v>
      </c>
      <c r="AC99" s="42">
        <v>10</v>
      </c>
      <c r="AD99" s="45">
        <v>10</v>
      </c>
      <c r="AE99" s="25"/>
      <c r="AF99" s="42"/>
      <c r="AG99" s="42"/>
      <c r="AH99" s="42">
        <f>INDEX(Sheet3!$H$22:$H$26,Quote!$B$15)</f>
        <v>0</v>
      </c>
      <c r="AI99" s="25"/>
      <c r="AJ99" s="42">
        <f>HLOOKUP(INDEX($C$10:$C$24,$C$9,1),Sheet3!$C$1:$Q$15,12,FALSE)+IF(Arrays_per_panel&lt;4,HLOOKUP(INDEX($C$10:$C$24,$C$9,1),Sheet3!$C$1:$Q$15,15,FALSE))</f>
        <v>220</v>
      </c>
      <c r="AK99" s="42"/>
      <c r="AL99" s="42">
        <v>25</v>
      </c>
      <c r="AM99" s="42">
        <v>0</v>
      </c>
      <c r="AN99" s="42"/>
      <c r="AO99" s="42"/>
      <c r="AP99" s="42"/>
      <c r="AQ99" s="42"/>
    </row>
    <row r="100" spans="1:43" s="45" customFormat="1" outlineLevel="1" x14ac:dyDescent="0.35">
      <c r="B100" s="25"/>
      <c r="C100" s="42"/>
      <c r="D100" s="42"/>
      <c r="E100" s="42"/>
      <c r="F100" s="42"/>
      <c r="G100" s="42"/>
      <c r="H100" s="42">
        <v>25</v>
      </c>
      <c r="I100" s="25"/>
      <c r="J100" s="42"/>
      <c r="K100" s="42"/>
      <c r="L100" s="42"/>
      <c r="M100" s="42"/>
      <c r="N100" s="42"/>
      <c r="O100" s="42"/>
      <c r="P100" s="42"/>
      <c r="Q100" s="25"/>
      <c r="R100" s="42"/>
      <c r="S100" s="42"/>
      <c r="T100" s="42">
        <v>10</v>
      </c>
      <c r="U100" s="42"/>
      <c r="V100" s="42">
        <v>10</v>
      </c>
      <c r="W100" s="42">
        <v>15</v>
      </c>
      <c r="X100" s="42"/>
      <c r="Y100" s="25"/>
      <c r="Z100" s="42">
        <f t="shared" si="16"/>
        <v>20</v>
      </c>
      <c r="AA100" s="42">
        <v>20</v>
      </c>
      <c r="AB100" s="42"/>
      <c r="AC100" s="42">
        <v>20</v>
      </c>
      <c r="AD100" s="42">
        <v>10</v>
      </c>
      <c r="AE100" s="25"/>
      <c r="AF100" s="42"/>
      <c r="AG100" s="42"/>
      <c r="AH100" s="42">
        <f>INDEX(Sheet3!$H$22:$H$26,Quote!$B$15)</f>
        <v>0</v>
      </c>
      <c r="AI100" s="25"/>
      <c r="AJ100" s="42">
        <f>HLOOKUP(INDEX($C$10:$C$24,$C$9,1),Sheet3!$C$1:$Q$14,13,FALSE)+IF(Arrays_per_panel&lt;4,HLOOKUP(INDEX($C$10:$C$24,$C$9,1),Sheet3!$C$1:$Q$15,15,FALSE))</f>
        <v>330</v>
      </c>
      <c r="AK100" s="42">
        <v>50</v>
      </c>
      <c r="AL100" s="42"/>
      <c r="AM100" s="42">
        <v>200</v>
      </c>
      <c r="AN100" s="42"/>
      <c r="AO100" s="42"/>
      <c r="AP100" s="42"/>
      <c r="AQ100" s="42"/>
    </row>
    <row r="101" spans="1:43" s="45" customFormat="1" outlineLevel="1" x14ac:dyDescent="0.35">
      <c r="B101" s="25"/>
      <c r="C101" s="42"/>
      <c r="D101" s="42"/>
      <c r="E101" s="42"/>
      <c r="F101" s="42"/>
      <c r="G101" s="42"/>
      <c r="H101" s="42">
        <v>50</v>
      </c>
      <c r="I101" s="25"/>
      <c r="J101" s="42"/>
      <c r="K101" s="42"/>
      <c r="L101" s="42"/>
      <c r="M101" s="42"/>
      <c r="N101" s="42"/>
      <c r="O101" s="42"/>
      <c r="P101" s="42"/>
      <c r="Q101" s="25"/>
      <c r="R101" s="42"/>
      <c r="S101" s="42"/>
      <c r="T101" s="42">
        <v>10</v>
      </c>
      <c r="U101" s="42"/>
      <c r="V101" s="42">
        <v>10</v>
      </c>
      <c r="W101" s="42"/>
      <c r="X101" s="42"/>
      <c r="Y101" s="25"/>
      <c r="Z101" s="42">
        <f t="shared" si="16"/>
        <v>20</v>
      </c>
      <c r="AA101" s="42"/>
      <c r="AB101" s="42"/>
      <c r="AC101" s="42"/>
      <c r="AD101" s="42">
        <v>10</v>
      </c>
      <c r="AE101" s="25"/>
      <c r="AF101" s="42"/>
      <c r="AG101" s="42"/>
      <c r="AH101" s="42">
        <f>INDEX(Sheet3!$H$22:$H$26,Quote!$B$15)</f>
        <v>0</v>
      </c>
      <c r="AI101" s="25"/>
      <c r="AJ101" s="42">
        <f>HLOOKUP(INDEX($C$10:$C$24,$C$9,1),Sheet3!$C$1:$Q$14,14,FALSE)+IF(Arrays_per_panel&lt;4,HLOOKUP(INDEX($C$10:$C$24,$C$9,1),Sheet3!$C$1:$Q$15,15,FALSE))</f>
        <v>390</v>
      </c>
      <c r="AK101" s="42">
        <v>100</v>
      </c>
      <c r="AL101" s="42"/>
      <c r="AM101" s="42">
        <v>250</v>
      </c>
      <c r="AN101" s="42"/>
      <c r="AO101" s="42"/>
      <c r="AP101" s="42"/>
      <c r="AQ101" s="42"/>
    </row>
    <row r="102" spans="1:43" s="45" customFormat="1" outlineLevel="1" x14ac:dyDescent="0.35">
      <c r="B102" s="25"/>
      <c r="C102" s="42"/>
      <c r="D102" s="42"/>
      <c r="E102" s="42"/>
      <c r="F102" s="42"/>
      <c r="G102" s="42"/>
      <c r="H102" s="42">
        <v>50</v>
      </c>
      <c r="I102" s="25"/>
      <c r="J102" s="42"/>
      <c r="K102" s="42"/>
      <c r="L102" s="42"/>
      <c r="M102" s="42"/>
      <c r="N102" s="42"/>
      <c r="O102" s="42"/>
      <c r="P102" s="42"/>
      <c r="Q102" s="25"/>
      <c r="R102" s="42"/>
      <c r="S102" s="42"/>
      <c r="T102" s="42">
        <v>10</v>
      </c>
      <c r="U102" s="42"/>
      <c r="V102" s="42">
        <v>10</v>
      </c>
      <c r="W102" s="42"/>
      <c r="X102" s="42"/>
      <c r="Y102" s="25"/>
      <c r="Z102" s="42">
        <f t="shared" si="16"/>
        <v>20</v>
      </c>
      <c r="AA102" s="42"/>
      <c r="AB102" s="42"/>
      <c r="AC102" s="42"/>
      <c r="AD102" s="42">
        <v>10</v>
      </c>
      <c r="AE102" s="25"/>
      <c r="AF102" s="42"/>
      <c r="AG102" s="42"/>
      <c r="AH102" s="42">
        <f>INDEX(Sheet3!$H$22:$H$26,Quote!$B$15)</f>
        <v>0</v>
      </c>
      <c r="AI102" s="25"/>
      <c r="AJ102" s="42"/>
      <c r="AK102" s="42">
        <v>100</v>
      </c>
      <c r="AL102" s="42"/>
      <c r="AM102" s="42"/>
      <c r="AN102" s="42"/>
      <c r="AO102" s="42"/>
      <c r="AP102" s="42"/>
      <c r="AQ102" s="42"/>
    </row>
    <row r="103" spans="1:43" s="45" customFormat="1" outlineLevel="1" x14ac:dyDescent="0.35">
      <c r="B103" s="25"/>
      <c r="C103" s="42"/>
      <c r="D103" s="42"/>
      <c r="E103" s="42"/>
      <c r="F103" s="42"/>
      <c r="G103" s="42"/>
      <c r="H103" s="42">
        <v>75</v>
      </c>
      <c r="I103" s="25"/>
      <c r="J103" s="42"/>
      <c r="K103" s="42"/>
      <c r="L103" s="42"/>
      <c r="M103" s="42"/>
      <c r="N103" s="42"/>
      <c r="O103" s="42"/>
      <c r="P103" s="42"/>
      <c r="Q103" s="25"/>
      <c r="R103" s="42"/>
      <c r="S103" s="42"/>
      <c r="T103" s="42">
        <v>10</v>
      </c>
      <c r="U103" s="42"/>
      <c r="V103" s="42"/>
      <c r="W103" s="42"/>
      <c r="X103" s="42"/>
      <c r="Y103" s="25"/>
      <c r="Z103" s="42">
        <f t="shared" si="16"/>
        <v>20</v>
      </c>
      <c r="AA103" s="42"/>
      <c r="AB103" s="42"/>
      <c r="AC103" s="42"/>
      <c r="AD103" s="42">
        <v>20</v>
      </c>
      <c r="AE103" s="25"/>
      <c r="AF103" s="42"/>
      <c r="AG103" s="42"/>
      <c r="AH103" s="42"/>
      <c r="AI103" s="25"/>
      <c r="AJ103" s="42"/>
      <c r="AK103" s="42">
        <v>100</v>
      </c>
      <c r="AL103" s="42"/>
      <c r="AM103" s="42"/>
      <c r="AN103" s="42"/>
      <c r="AO103" s="42"/>
      <c r="AP103" s="42"/>
      <c r="AQ103" s="42"/>
    </row>
    <row r="104" spans="1:43" s="45" customFormat="1" outlineLevel="1" x14ac:dyDescent="0.35">
      <c r="B104" s="25"/>
      <c r="C104" s="42"/>
      <c r="D104" s="42"/>
      <c r="E104" s="42"/>
      <c r="F104" s="42"/>
      <c r="G104" s="42"/>
      <c r="H104" s="42">
        <v>75</v>
      </c>
      <c r="I104" s="25"/>
      <c r="J104" s="42"/>
      <c r="K104" s="42"/>
      <c r="L104" s="42"/>
      <c r="M104" s="42"/>
      <c r="N104" s="42"/>
      <c r="O104" s="42"/>
      <c r="P104" s="42"/>
      <c r="Q104" s="25"/>
      <c r="R104" s="42"/>
      <c r="S104" s="42"/>
      <c r="T104" s="42">
        <v>10</v>
      </c>
      <c r="U104" s="42"/>
      <c r="V104" s="42"/>
      <c r="W104" s="42"/>
      <c r="X104" s="42"/>
      <c r="Y104" s="25"/>
      <c r="Z104" s="42">
        <f t="shared" si="16"/>
        <v>20</v>
      </c>
      <c r="AA104" s="42"/>
      <c r="AB104" s="42"/>
      <c r="AC104" s="42"/>
      <c r="AD104" s="42">
        <v>10</v>
      </c>
      <c r="AE104" s="25"/>
      <c r="AF104" s="42"/>
      <c r="AG104" s="42"/>
      <c r="AH104" s="42"/>
      <c r="AI104" s="25"/>
      <c r="AJ104" s="42"/>
      <c r="AK104" s="42"/>
      <c r="AL104" s="42"/>
      <c r="AM104" s="42"/>
      <c r="AN104" s="42"/>
      <c r="AO104" s="42"/>
      <c r="AP104" s="42"/>
      <c r="AQ104" s="42"/>
    </row>
    <row r="105" spans="1:43" s="45" customFormat="1" outlineLevel="1" x14ac:dyDescent="0.35">
      <c r="B105" s="25"/>
      <c r="C105" s="42"/>
      <c r="D105" s="42"/>
      <c r="E105" s="42"/>
      <c r="F105" s="42"/>
      <c r="G105" s="42">
        <v>20</v>
      </c>
      <c r="H105" s="42">
        <v>100</v>
      </c>
      <c r="I105" s="25"/>
      <c r="J105" s="42"/>
      <c r="K105" s="42"/>
      <c r="L105" s="42"/>
      <c r="M105" s="42"/>
      <c r="N105" s="42"/>
      <c r="O105" s="42"/>
      <c r="P105" s="42"/>
      <c r="Q105" s="25"/>
      <c r="R105" s="42"/>
      <c r="S105" s="42"/>
      <c r="T105" s="42">
        <v>10</v>
      </c>
      <c r="U105" s="42"/>
      <c r="V105" s="42"/>
      <c r="W105" s="42"/>
      <c r="X105" s="42"/>
      <c r="Y105" s="25"/>
      <c r="Z105" s="42">
        <f t="shared" si="16"/>
        <v>20</v>
      </c>
      <c r="AA105" s="42"/>
      <c r="AB105" s="42"/>
      <c r="AC105" s="42"/>
      <c r="AD105" s="42">
        <v>10</v>
      </c>
      <c r="AE105" s="25"/>
      <c r="AF105" s="42"/>
      <c r="AG105" s="42"/>
      <c r="AH105" s="42"/>
      <c r="AI105" s="25"/>
      <c r="AJ105" s="42"/>
      <c r="AK105" s="42"/>
      <c r="AL105" s="42"/>
      <c r="AM105" s="42"/>
      <c r="AN105" s="42"/>
      <c r="AO105" s="42"/>
      <c r="AP105" s="42"/>
      <c r="AQ105" s="42"/>
    </row>
    <row r="106" spans="1:43" s="45" customFormat="1" outlineLevel="1" x14ac:dyDescent="0.35">
      <c r="B106" s="25"/>
      <c r="C106" s="42"/>
      <c r="D106" s="42"/>
      <c r="E106" s="42"/>
      <c r="F106" s="42"/>
      <c r="G106" s="42"/>
      <c r="H106" s="42">
        <v>100</v>
      </c>
      <c r="I106" s="25"/>
      <c r="J106" s="42"/>
      <c r="K106" s="42"/>
      <c r="L106" s="42"/>
      <c r="M106" s="42"/>
      <c r="N106" s="42"/>
      <c r="O106" s="42"/>
      <c r="P106" s="42"/>
      <c r="Q106" s="25"/>
      <c r="R106" s="42"/>
      <c r="S106" s="42"/>
      <c r="T106" s="42"/>
      <c r="U106" s="42"/>
      <c r="V106" s="42"/>
      <c r="W106" s="42"/>
      <c r="X106" s="42"/>
      <c r="Y106" s="25"/>
      <c r="Z106" s="42">
        <f t="shared" si="16"/>
        <v>20</v>
      </c>
      <c r="AA106" s="42"/>
      <c r="AB106" s="42"/>
      <c r="AC106" s="42"/>
      <c r="AD106" s="42">
        <v>10</v>
      </c>
      <c r="AE106" s="25"/>
      <c r="AF106" s="42"/>
      <c r="AG106" s="42"/>
      <c r="AH106" s="42"/>
      <c r="AI106" s="25"/>
      <c r="AJ106" s="42"/>
      <c r="AK106" s="42"/>
      <c r="AL106" s="42"/>
      <c r="AM106" s="42"/>
      <c r="AN106" s="42"/>
      <c r="AO106" s="42"/>
      <c r="AP106" s="42"/>
      <c r="AQ106" s="42"/>
    </row>
    <row r="107" spans="1:43" s="45" customFormat="1" outlineLevel="1" x14ac:dyDescent="0.35">
      <c r="B107" s="25"/>
      <c r="C107" s="42"/>
      <c r="D107" s="42"/>
      <c r="E107" s="42"/>
      <c r="F107" s="42"/>
      <c r="G107" s="42"/>
      <c r="H107" s="42">
        <v>125</v>
      </c>
      <c r="I107" s="25"/>
      <c r="J107" s="42"/>
      <c r="K107" s="42"/>
      <c r="L107" s="42"/>
      <c r="M107" s="42"/>
      <c r="N107" s="42"/>
      <c r="O107" s="42"/>
      <c r="P107" s="42"/>
      <c r="Q107" s="25"/>
      <c r="R107" s="42"/>
      <c r="S107" s="42"/>
      <c r="T107" s="42"/>
      <c r="U107" s="42"/>
      <c r="V107" s="42"/>
      <c r="W107" s="42"/>
      <c r="X107" s="42"/>
      <c r="Y107" s="25"/>
      <c r="Z107" s="42">
        <v>0</v>
      </c>
      <c r="AA107" s="42"/>
      <c r="AB107" s="42"/>
      <c r="AC107" s="42"/>
      <c r="AD107" s="42">
        <v>20</v>
      </c>
      <c r="AE107" s="25"/>
      <c r="AF107" s="42"/>
      <c r="AG107" s="42"/>
      <c r="AH107" s="42"/>
      <c r="AI107" s="25"/>
      <c r="AJ107" s="42"/>
      <c r="AK107" s="42"/>
      <c r="AL107" s="42"/>
      <c r="AM107" s="42"/>
      <c r="AN107" s="42"/>
      <c r="AO107" s="42"/>
      <c r="AP107" s="42"/>
      <c r="AQ107" s="42"/>
    </row>
    <row r="108" spans="1:43" s="45" customFormat="1" outlineLevel="1" x14ac:dyDescent="0.35">
      <c r="B108" s="25"/>
      <c r="C108" s="42"/>
      <c r="D108" s="42"/>
      <c r="E108" s="42"/>
      <c r="F108" s="42"/>
      <c r="G108" s="42"/>
      <c r="H108" s="42">
        <v>125</v>
      </c>
      <c r="I108" s="25"/>
      <c r="J108" s="42"/>
      <c r="K108" s="42"/>
      <c r="L108" s="42"/>
      <c r="M108" s="42"/>
      <c r="N108" s="42"/>
      <c r="O108" s="42"/>
      <c r="P108" s="42"/>
      <c r="Q108" s="25"/>
      <c r="R108" s="42"/>
      <c r="S108" s="42"/>
      <c r="T108" s="42"/>
      <c r="U108" s="42"/>
      <c r="V108" s="42"/>
      <c r="W108" s="42"/>
      <c r="X108" s="42"/>
      <c r="Y108" s="25"/>
      <c r="Z108" s="42"/>
      <c r="AA108" s="42"/>
      <c r="AB108" s="42"/>
      <c r="AC108" s="42"/>
      <c r="AD108" s="42"/>
      <c r="AE108" s="25"/>
      <c r="AF108" s="42"/>
      <c r="AG108" s="42"/>
      <c r="AH108" s="42"/>
      <c r="AI108" s="25"/>
      <c r="AJ108" s="42"/>
      <c r="AK108" s="42"/>
      <c r="AL108" s="42"/>
      <c r="AM108" s="42"/>
      <c r="AN108" s="42"/>
      <c r="AO108" s="42"/>
      <c r="AP108" s="42"/>
      <c r="AQ108" s="42"/>
    </row>
    <row r="109" spans="1:43" s="45" customFormat="1" outlineLevel="1" x14ac:dyDescent="0.35">
      <c r="B109" s="25"/>
      <c r="C109" s="42"/>
      <c r="D109" s="42"/>
      <c r="E109" s="42"/>
      <c r="F109" s="42"/>
      <c r="G109" s="42"/>
      <c r="H109" s="42"/>
      <c r="I109" s="25"/>
      <c r="J109" s="42"/>
      <c r="K109" s="42"/>
      <c r="L109" s="42"/>
      <c r="M109" s="42"/>
      <c r="N109" s="42"/>
      <c r="O109" s="42"/>
      <c r="P109" s="42"/>
      <c r="Q109" s="25"/>
      <c r="R109" s="42"/>
      <c r="S109" s="42"/>
      <c r="T109" s="42"/>
      <c r="U109" s="42"/>
      <c r="V109" s="42"/>
      <c r="W109" s="42"/>
      <c r="X109" s="42"/>
      <c r="Y109" s="25"/>
      <c r="Z109" s="42"/>
      <c r="AA109" s="42"/>
      <c r="AB109" s="42"/>
      <c r="AC109" s="42"/>
      <c r="AD109" s="42"/>
      <c r="AE109" s="25"/>
      <c r="AF109" s="42"/>
      <c r="AG109" s="42"/>
      <c r="AH109" s="42"/>
      <c r="AI109" s="25"/>
      <c r="AJ109" s="42"/>
      <c r="AK109" s="42"/>
      <c r="AL109" s="42"/>
      <c r="AM109" s="42"/>
      <c r="AN109" s="42"/>
      <c r="AO109" s="42"/>
      <c r="AP109" s="42"/>
      <c r="AQ109" s="42"/>
    </row>
    <row r="110" spans="1:43" s="19" customFormat="1" x14ac:dyDescent="0.35">
      <c r="A110" s="19" t="s">
        <v>146</v>
      </c>
      <c r="B110" s="9"/>
      <c r="C110" s="20"/>
      <c r="D110" s="20"/>
      <c r="E110" s="20"/>
      <c r="F110" s="20"/>
      <c r="G110" s="20"/>
      <c r="H110" s="47"/>
      <c r="I110" s="9"/>
      <c r="J110" s="20"/>
      <c r="K110" s="20"/>
      <c r="L110" s="20"/>
      <c r="M110" s="20"/>
      <c r="N110" s="20"/>
      <c r="O110" s="20"/>
      <c r="P110" s="20"/>
      <c r="Q110" s="9"/>
      <c r="R110" s="43"/>
      <c r="S110" s="43"/>
      <c r="T110" s="43"/>
      <c r="U110" s="43"/>
      <c r="V110" s="43"/>
      <c r="W110" s="43"/>
      <c r="X110" s="43"/>
      <c r="Y110" s="9"/>
      <c r="Z110" s="43"/>
      <c r="AA110" s="43"/>
      <c r="AB110" s="43"/>
      <c r="AC110" s="43"/>
      <c r="AD110" s="43"/>
      <c r="AE110" s="9"/>
      <c r="AF110" s="43"/>
      <c r="AG110" s="43"/>
      <c r="AH110" s="43"/>
      <c r="AI110" s="9"/>
      <c r="AJ110" s="43"/>
      <c r="AK110" s="43"/>
      <c r="AL110" s="43"/>
      <c r="AM110" s="43"/>
      <c r="AN110" s="43"/>
      <c r="AO110" s="43"/>
      <c r="AP110" s="43"/>
      <c r="AQ110" s="43"/>
    </row>
    <row r="111" spans="1:43" x14ac:dyDescent="0.35">
      <c r="H111" s="17"/>
    </row>
    <row r="112" spans="1:43" x14ac:dyDescent="0.35">
      <c r="H112" s="17"/>
    </row>
    <row r="113" spans="2:43" x14ac:dyDescent="0.35">
      <c r="H113" s="17"/>
    </row>
    <row r="114" spans="2:43" x14ac:dyDescent="0.35">
      <c r="H114" s="17"/>
    </row>
    <row r="115" spans="2:43" x14ac:dyDescent="0.35">
      <c r="H115" s="17"/>
    </row>
    <row r="123" spans="2:43" s="19" customFormat="1" x14ac:dyDescent="0.35">
      <c r="B123" s="9"/>
      <c r="C123" s="20"/>
      <c r="D123" s="20"/>
      <c r="E123" s="20"/>
      <c r="F123" s="20"/>
      <c r="G123" s="20"/>
      <c r="H123" s="47"/>
      <c r="I123" s="9"/>
      <c r="J123" s="20"/>
      <c r="K123" s="20"/>
      <c r="L123" s="20"/>
      <c r="M123" s="20"/>
      <c r="N123" s="20"/>
      <c r="O123" s="20"/>
      <c r="P123" s="20"/>
      <c r="Q123" s="9"/>
      <c r="R123" s="43"/>
      <c r="S123" s="43"/>
      <c r="T123" s="43"/>
      <c r="U123" s="43"/>
      <c r="V123" s="43"/>
      <c r="W123" s="43"/>
      <c r="X123" s="43"/>
      <c r="Y123" s="9"/>
      <c r="Z123" s="43"/>
      <c r="AA123" s="43"/>
      <c r="AB123" s="43"/>
      <c r="AC123" s="43"/>
      <c r="AD123" s="43"/>
      <c r="AE123" s="9"/>
      <c r="AF123" s="43"/>
      <c r="AG123" s="43"/>
      <c r="AH123" s="43"/>
      <c r="AI123" s="9"/>
      <c r="AJ123" s="43"/>
      <c r="AK123" s="43"/>
      <c r="AL123" s="43"/>
      <c r="AM123" s="43"/>
      <c r="AN123" s="43"/>
      <c r="AO123" s="43"/>
      <c r="AP123" s="43"/>
      <c r="AQ123" s="43"/>
    </row>
  </sheetData>
  <sheetProtection selectLockedCells="1"/>
  <pageMargins left="0.25" right="0.25" top="0.75" bottom="0.75" header="0.3" footer="0.3"/>
  <pageSetup paperSize="17" scale="28"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AI37"/>
  <sheetViews>
    <sheetView workbookViewId="0">
      <selection activeCell="G24" sqref="G24"/>
    </sheetView>
  </sheetViews>
  <sheetFormatPr defaultRowHeight="14.5" x14ac:dyDescent="0.35"/>
  <cols>
    <col min="1" max="1" width="15.26953125" bestFit="1" customWidth="1"/>
    <col min="2" max="2" width="19.54296875" bestFit="1" customWidth="1"/>
    <col min="3" max="3" width="14" bestFit="1" customWidth="1"/>
    <col min="4" max="4" width="11.54296875" bestFit="1" customWidth="1"/>
    <col min="5" max="6" width="12.81640625" bestFit="1" customWidth="1"/>
    <col min="7" max="7" width="17.26953125" bestFit="1" customWidth="1"/>
    <col min="8" max="8" width="12.81640625" bestFit="1" customWidth="1"/>
    <col min="9" max="17" width="11.26953125" customWidth="1"/>
  </cols>
  <sheetData>
    <row r="1" spans="1:35" x14ac:dyDescent="0.35">
      <c r="B1" s="2" t="s">
        <v>0</v>
      </c>
      <c r="C1" s="103" t="s">
        <v>159</v>
      </c>
      <c r="D1" s="103" t="s">
        <v>160</v>
      </c>
      <c r="E1" s="103" t="s">
        <v>161</v>
      </c>
      <c r="F1" s="103" t="s">
        <v>162</v>
      </c>
      <c r="G1" s="2" t="s">
        <v>52</v>
      </c>
      <c r="H1" s="91" t="s">
        <v>53</v>
      </c>
      <c r="I1" s="2" t="s">
        <v>55</v>
      </c>
      <c r="J1" s="2" t="s">
        <v>54</v>
      </c>
      <c r="K1" s="2" t="s">
        <v>56</v>
      </c>
      <c r="L1" s="2" t="s">
        <v>57</v>
      </c>
      <c r="M1" s="2" t="s">
        <v>58</v>
      </c>
      <c r="N1" s="2" t="s">
        <v>130</v>
      </c>
      <c r="O1" s="2" t="s">
        <v>131</v>
      </c>
      <c r="P1" s="2" t="s">
        <v>61</v>
      </c>
      <c r="Q1" s="2" t="s">
        <v>62</v>
      </c>
    </row>
    <row r="2" spans="1:35" x14ac:dyDescent="0.35">
      <c r="A2" s="459" t="s">
        <v>263</v>
      </c>
      <c r="B2" s="49" t="s">
        <v>1</v>
      </c>
      <c r="C2" s="49">
        <v>76.03</v>
      </c>
      <c r="D2" s="49">
        <v>234.93</v>
      </c>
      <c r="E2" s="49">
        <v>278.77999999999997</v>
      </c>
      <c r="F2" s="49">
        <v>292.08999999999997</v>
      </c>
      <c r="G2" s="316">
        <v>42.91</v>
      </c>
      <c r="H2" s="317">
        <v>62.49</v>
      </c>
      <c r="I2" s="316">
        <v>98.18</v>
      </c>
      <c r="J2" s="316">
        <v>130.34</v>
      </c>
      <c r="K2" s="316">
        <v>169.89</v>
      </c>
      <c r="L2" s="316">
        <v>208.81</v>
      </c>
      <c r="M2" s="316">
        <v>247.71</v>
      </c>
      <c r="N2" s="316">
        <v>286.62</v>
      </c>
      <c r="O2" s="316">
        <v>325.52999999999997</v>
      </c>
      <c r="P2" s="316">
        <v>364.44</v>
      </c>
      <c r="Q2" s="316">
        <v>403.34</v>
      </c>
    </row>
    <row r="3" spans="1:35" x14ac:dyDescent="0.35">
      <c r="A3" s="460"/>
      <c r="B3" s="50" t="s">
        <v>2</v>
      </c>
      <c r="C3" s="50">
        <v>316.79000000000002</v>
      </c>
      <c r="D3" s="50">
        <v>1140.45</v>
      </c>
      <c r="E3" s="50">
        <v>1393.88</v>
      </c>
      <c r="F3" s="50">
        <v>1393.88</v>
      </c>
      <c r="G3" s="318">
        <v>230.3</v>
      </c>
      <c r="H3" s="318">
        <v>230.3</v>
      </c>
      <c r="I3" s="318">
        <v>366.05</v>
      </c>
      <c r="J3" s="318">
        <v>393.92</v>
      </c>
      <c r="K3" s="318">
        <v>575.73</v>
      </c>
      <c r="L3" s="318">
        <v>709.06</v>
      </c>
      <c r="M3" s="318">
        <v>902.99</v>
      </c>
      <c r="N3" s="318">
        <v>1060.55</v>
      </c>
      <c r="O3" s="318">
        <v>1224.19</v>
      </c>
      <c r="P3" s="318">
        <v>1381.75</v>
      </c>
      <c r="Q3" s="318">
        <v>1545.38</v>
      </c>
      <c r="U3" s="49">
        <v>70.73</v>
      </c>
      <c r="V3" s="49">
        <v>218.54</v>
      </c>
      <c r="W3" s="49">
        <v>259.33</v>
      </c>
      <c r="X3" s="49">
        <v>271.70999999999998</v>
      </c>
      <c r="Y3" s="316">
        <v>39.92</v>
      </c>
      <c r="Z3" s="317">
        <v>58.13</v>
      </c>
      <c r="AA3" s="316">
        <v>91.33</v>
      </c>
      <c r="AB3" s="316">
        <v>121.25</v>
      </c>
      <c r="AC3" s="316">
        <v>158.04</v>
      </c>
      <c r="AD3" s="316">
        <v>194.24</v>
      </c>
      <c r="AE3" s="316">
        <v>230.43</v>
      </c>
      <c r="AF3" s="316">
        <v>266.62</v>
      </c>
      <c r="AG3" s="316">
        <v>302.82</v>
      </c>
      <c r="AH3" s="316">
        <v>339.01</v>
      </c>
      <c r="AI3" s="316">
        <v>375.2</v>
      </c>
    </row>
    <row r="4" spans="1:35" x14ac:dyDescent="0.35">
      <c r="A4" s="461" t="s">
        <v>63</v>
      </c>
      <c r="B4" s="51" t="s">
        <v>1</v>
      </c>
      <c r="C4" s="51">
        <v>76.03</v>
      </c>
      <c r="D4" s="51">
        <v>234.93</v>
      </c>
      <c r="E4" s="51">
        <v>278.77999999999997</v>
      </c>
      <c r="F4" s="51">
        <v>292.08999999999997</v>
      </c>
      <c r="G4" s="412">
        <v>42.91</v>
      </c>
      <c r="H4" s="412">
        <v>62.49</v>
      </c>
      <c r="I4" s="412">
        <v>98.18</v>
      </c>
      <c r="J4" s="412">
        <v>130.34</v>
      </c>
      <c r="K4" s="412">
        <v>169.89</v>
      </c>
      <c r="L4" s="412">
        <v>208.81</v>
      </c>
      <c r="M4" s="412">
        <v>247.71</v>
      </c>
      <c r="N4" s="412">
        <v>286.62</v>
      </c>
      <c r="O4" s="412">
        <v>325.52999999999997</v>
      </c>
      <c r="P4" s="412">
        <v>364.44</v>
      </c>
      <c r="Q4" s="412">
        <v>403.34</v>
      </c>
      <c r="U4" s="50">
        <v>294.69</v>
      </c>
      <c r="V4" s="50">
        <v>1060.8800000000001</v>
      </c>
      <c r="W4" s="50">
        <v>1296.6300000000001</v>
      </c>
      <c r="X4" s="50">
        <v>1296.6300000000001</v>
      </c>
      <c r="Y4" s="318">
        <v>214.23</v>
      </c>
      <c r="Z4" s="318">
        <v>214.23</v>
      </c>
      <c r="AA4" s="318">
        <v>340.51</v>
      </c>
      <c r="AB4" s="318">
        <v>366.44</v>
      </c>
      <c r="AC4" s="318">
        <v>535.55999999999995</v>
      </c>
      <c r="AD4" s="318">
        <v>659.59</v>
      </c>
      <c r="AE4" s="318">
        <v>839.99</v>
      </c>
      <c r="AF4" s="318">
        <v>986.56</v>
      </c>
      <c r="AG4" s="318">
        <v>1138.78</v>
      </c>
      <c r="AH4" s="318">
        <v>1285.3499999999999</v>
      </c>
      <c r="AI4" s="318">
        <v>1437.56</v>
      </c>
    </row>
    <row r="5" spans="1:35" x14ac:dyDescent="0.35">
      <c r="A5" s="461"/>
      <c r="B5" s="51" t="s">
        <v>2</v>
      </c>
      <c r="C5" s="51">
        <v>316.79000000000002</v>
      </c>
      <c r="D5" s="51">
        <v>1140.45</v>
      </c>
      <c r="E5" s="51">
        <v>1393.88</v>
      </c>
      <c r="F5" s="51">
        <v>1393.88</v>
      </c>
      <c r="G5" s="412">
        <v>230.3</v>
      </c>
      <c r="H5" s="412">
        <v>230.3</v>
      </c>
      <c r="I5" s="412">
        <v>366.05</v>
      </c>
      <c r="J5" s="412">
        <v>393.92</v>
      </c>
      <c r="K5" s="412">
        <v>575.73</v>
      </c>
      <c r="L5" s="412">
        <v>709.06</v>
      </c>
      <c r="M5" s="412">
        <v>902.99</v>
      </c>
      <c r="N5" s="412">
        <v>1060.55</v>
      </c>
      <c r="O5" s="412">
        <v>1224.19</v>
      </c>
      <c r="P5" s="412">
        <v>1381.75</v>
      </c>
      <c r="Q5" s="412">
        <v>1545.38</v>
      </c>
      <c r="U5" s="51">
        <v>70.73</v>
      </c>
      <c r="V5" s="51">
        <v>218.54</v>
      </c>
      <c r="W5" s="51">
        <v>259.33</v>
      </c>
      <c r="X5" s="51">
        <v>271.70999999999998</v>
      </c>
      <c r="Y5" s="412">
        <v>39.92</v>
      </c>
      <c r="Z5" s="412">
        <v>58.13</v>
      </c>
      <c r="AA5" s="412">
        <v>91.33</v>
      </c>
      <c r="AB5" s="412">
        <v>121.25</v>
      </c>
      <c r="AC5" s="412">
        <v>158.04</v>
      </c>
      <c r="AD5" s="412">
        <v>194.24</v>
      </c>
      <c r="AE5" s="412">
        <v>230.43</v>
      </c>
      <c r="AF5" s="412">
        <v>266.62</v>
      </c>
      <c r="AG5" s="412">
        <v>302.82</v>
      </c>
      <c r="AH5" s="412">
        <v>339.01</v>
      </c>
      <c r="AI5" s="412">
        <v>375.2</v>
      </c>
    </row>
    <row r="6" spans="1:35" x14ac:dyDescent="0.35">
      <c r="A6" s="462" t="s">
        <v>262</v>
      </c>
      <c r="B6" s="52" t="s">
        <v>1</v>
      </c>
      <c r="C6" s="52">
        <v>72.23</v>
      </c>
      <c r="D6" s="52">
        <v>221.88</v>
      </c>
      <c r="E6" s="52">
        <v>266.11</v>
      </c>
      <c r="F6" s="52">
        <v>278.77999999999997</v>
      </c>
      <c r="G6" s="413">
        <v>42.91</v>
      </c>
      <c r="H6" s="413">
        <v>62.49</v>
      </c>
      <c r="I6" s="413">
        <v>98.18</v>
      </c>
      <c r="J6" s="413">
        <v>130.34</v>
      </c>
      <c r="K6" s="413">
        <v>169.89</v>
      </c>
      <c r="L6" s="413">
        <v>208.81</v>
      </c>
      <c r="M6" s="413">
        <v>247.71</v>
      </c>
      <c r="N6" s="413">
        <v>286.62</v>
      </c>
      <c r="O6" s="413">
        <v>325.52999999999997</v>
      </c>
      <c r="P6" s="413">
        <v>364.44</v>
      </c>
      <c r="Q6" s="413">
        <v>403.34</v>
      </c>
      <c r="U6" s="51">
        <v>294.69</v>
      </c>
      <c r="V6" s="51">
        <v>1060.8800000000001</v>
      </c>
      <c r="W6" s="51">
        <v>1296.6300000000001</v>
      </c>
      <c r="X6" s="51">
        <v>1296.6300000000001</v>
      </c>
      <c r="Y6" s="412">
        <v>214.23</v>
      </c>
      <c r="Z6" s="412">
        <v>214.23</v>
      </c>
      <c r="AA6" s="412">
        <v>340.51</v>
      </c>
      <c r="AB6" s="412">
        <v>366.44</v>
      </c>
      <c r="AC6" s="412">
        <v>535.55999999999995</v>
      </c>
      <c r="AD6" s="412">
        <v>659.59</v>
      </c>
      <c r="AE6" s="412">
        <v>839.99</v>
      </c>
      <c r="AF6" s="412">
        <v>986.56</v>
      </c>
      <c r="AG6" s="412">
        <v>1138.78</v>
      </c>
      <c r="AH6" s="412">
        <v>1285.3499999999999</v>
      </c>
      <c r="AI6" s="412">
        <v>1437.56</v>
      </c>
    </row>
    <row r="7" spans="1:35" x14ac:dyDescent="0.35">
      <c r="A7" s="463"/>
      <c r="B7" s="187" t="s">
        <v>2</v>
      </c>
      <c r="C7" s="187">
        <v>380.15</v>
      </c>
      <c r="D7" s="187">
        <v>918.68</v>
      </c>
      <c r="E7" s="187">
        <v>1172.1199999999999</v>
      </c>
      <c r="F7" s="187">
        <v>1172.1199999999999</v>
      </c>
      <c r="G7" s="414">
        <v>199.99</v>
      </c>
      <c r="H7" s="414">
        <v>224.23</v>
      </c>
      <c r="I7" s="414">
        <v>366.53</v>
      </c>
      <c r="J7" s="414">
        <v>424.23</v>
      </c>
      <c r="K7" s="414">
        <v>515.13</v>
      </c>
      <c r="L7" s="414">
        <v>618.16</v>
      </c>
      <c r="M7" s="414">
        <v>818.14</v>
      </c>
      <c r="N7" s="414">
        <v>1090.8599999999999</v>
      </c>
      <c r="O7" s="414">
        <v>1284.79</v>
      </c>
      <c r="P7" s="414">
        <v>1478.72</v>
      </c>
      <c r="Q7" s="414">
        <v>1672.65</v>
      </c>
      <c r="U7" s="52">
        <v>67.19</v>
      </c>
      <c r="V7" s="52">
        <v>206.4</v>
      </c>
      <c r="W7" s="52">
        <v>247.54</v>
      </c>
      <c r="X7" s="52">
        <v>259.33</v>
      </c>
      <c r="Y7" s="413">
        <v>39.92</v>
      </c>
      <c r="Z7" s="413">
        <v>58.13</v>
      </c>
      <c r="AA7" s="413">
        <v>91.33</v>
      </c>
      <c r="AB7" s="413">
        <v>121.25</v>
      </c>
      <c r="AC7" s="413">
        <v>158.04</v>
      </c>
      <c r="AD7" s="413">
        <v>194.24</v>
      </c>
      <c r="AE7" s="413">
        <v>230.43</v>
      </c>
      <c r="AF7" s="413">
        <v>266.62</v>
      </c>
      <c r="AG7" s="413">
        <v>302.82</v>
      </c>
      <c r="AH7" s="413">
        <v>339.01</v>
      </c>
      <c r="AI7" s="413">
        <v>375.2</v>
      </c>
    </row>
    <row r="8" spans="1:35" x14ac:dyDescent="0.35">
      <c r="A8" s="183"/>
      <c r="B8" s="53" t="s">
        <v>259</v>
      </c>
      <c r="C8" s="53">
        <v>570.22</v>
      </c>
      <c r="D8" s="53">
        <v>1457.23</v>
      </c>
      <c r="E8" s="53">
        <v>1520.59</v>
      </c>
      <c r="F8" s="53">
        <v>1520.59</v>
      </c>
      <c r="G8" s="415">
        <v>333.31</v>
      </c>
      <c r="H8" s="415">
        <v>393.92</v>
      </c>
      <c r="I8" s="415">
        <v>589.07000000000005</v>
      </c>
      <c r="J8" s="415">
        <v>727.24</v>
      </c>
      <c r="K8" s="415">
        <v>969.65</v>
      </c>
      <c r="L8" s="415">
        <v>1151.46</v>
      </c>
      <c r="M8" s="415">
        <v>1454.48</v>
      </c>
      <c r="N8" s="415">
        <v>1545.38</v>
      </c>
      <c r="O8" s="415">
        <v>1605.99</v>
      </c>
      <c r="P8" s="415">
        <v>1670.23</v>
      </c>
      <c r="Q8" s="415">
        <v>1734.46</v>
      </c>
      <c r="U8" s="187">
        <v>353.63</v>
      </c>
      <c r="V8" s="187">
        <v>854.59</v>
      </c>
      <c r="W8" s="187">
        <v>1090.3399999999999</v>
      </c>
      <c r="X8" s="187">
        <v>1090.3399999999999</v>
      </c>
      <c r="Y8" s="414">
        <v>186.04</v>
      </c>
      <c r="Z8" s="414">
        <v>208.59</v>
      </c>
      <c r="AA8" s="414">
        <v>340.96</v>
      </c>
      <c r="AB8" s="414">
        <v>394.63</v>
      </c>
      <c r="AC8" s="414">
        <v>479.19</v>
      </c>
      <c r="AD8" s="414">
        <v>575.03</v>
      </c>
      <c r="AE8" s="414">
        <v>761.06</v>
      </c>
      <c r="AF8" s="414">
        <v>1014.75</v>
      </c>
      <c r="AG8" s="414">
        <v>1195.1500000000001</v>
      </c>
      <c r="AH8" s="414">
        <v>1375.55</v>
      </c>
      <c r="AI8" s="414">
        <v>1555.95</v>
      </c>
    </row>
    <row r="9" spans="1:35" x14ac:dyDescent="0.35">
      <c r="A9" s="188" t="s">
        <v>261</v>
      </c>
      <c r="B9" s="189" t="s">
        <v>260</v>
      </c>
      <c r="C9" s="190">
        <v>0.11</v>
      </c>
      <c r="D9" s="190">
        <v>0.16</v>
      </c>
      <c r="E9" s="190">
        <v>0.27</v>
      </c>
      <c r="F9" s="190">
        <v>0.32</v>
      </c>
      <c r="G9" s="193">
        <v>0.05</v>
      </c>
      <c r="H9" s="193">
        <v>0.11</v>
      </c>
      <c r="I9" s="193">
        <v>0.16</v>
      </c>
      <c r="J9" s="193">
        <v>0.22</v>
      </c>
      <c r="K9" s="193">
        <v>0.27</v>
      </c>
      <c r="L9" s="193">
        <v>0.32</v>
      </c>
      <c r="M9" s="193">
        <v>0.38</v>
      </c>
      <c r="N9" s="193">
        <v>0.43</v>
      </c>
      <c r="O9" s="193">
        <v>0.48</v>
      </c>
      <c r="P9" s="193">
        <v>0.54</v>
      </c>
      <c r="Q9" s="193">
        <v>0.59</v>
      </c>
      <c r="U9" s="53">
        <v>530.44000000000005</v>
      </c>
      <c r="V9" s="53">
        <v>1355.56</v>
      </c>
      <c r="W9" s="53">
        <v>1414.5</v>
      </c>
      <c r="X9" s="53">
        <v>1414.5</v>
      </c>
      <c r="Y9" s="415">
        <v>310.06</v>
      </c>
      <c r="Z9" s="415">
        <v>366.44</v>
      </c>
      <c r="AA9" s="415">
        <v>547.97</v>
      </c>
      <c r="AB9" s="415">
        <v>676.5</v>
      </c>
      <c r="AC9" s="415">
        <v>902</v>
      </c>
      <c r="AD9" s="415">
        <v>1071.1300000000001</v>
      </c>
      <c r="AE9" s="415">
        <v>1353</v>
      </c>
      <c r="AF9" s="415">
        <v>1437.56</v>
      </c>
      <c r="AG9" s="415">
        <v>1493.94</v>
      </c>
      <c r="AH9" s="415">
        <v>1553.7</v>
      </c>
      <c r="AI9" s="415">
        <v>1613.45</v>
      </c>
    </row>
    <row r="10" spans="1:35" x14ac:dyDescent="0.35">
      <c r="A10" s="1"/>
      <c r="B10" s="1" t="s">
        <v>3</v>
      </c>
      <c r="C10" s="2">
        <v>110</v>
      </c>
      <c r="D10" s="2">
        <v>220</v>
      </c>
      <c r="E10" s="2">
        <v>330</v>
      </c>
      <c r="F10" s="2">
        <v>390</v>
      </c>
      <c r="G10" s="2">
        <v>80</v>
      </c>
      <c r="H10" s="2">
        <v>110</v>
      </c>
      <c r="I10" s="2">
        <v>220</v>
      </c>
      <c r="J10" s="2">
        <v>330</v>
      </c>
      <c r="K10" s="2">
        <v>390</v>
      </c>
      <c r="L10" s="2">
        <v>440</v>
      </c>
      <c r="M10" s="2">
        <v>500</v>
      </c>
      <c r="N10" s="2">
        <v>550</v>
      </c>
      <c r="O10" s="2">
        <v>610</v>
      </c>
      <c r="P10" s="2">
        <v>660</v>
      </c>
      <c r="Q10" s="2">
        <v>720</v>
      </c>
      <c r="U10" s="190">
        <v>0.1</v>
      </c>
      <c r="V10" s="190">
        <v>0.15</v>
      </c>
      <c r="W10" s="190">
        <v>0.25</v>
      </c>
      <c r="X10" s="190">
        <v>0.3</v>
      </c>
      <c r="Y10" s="193">
        <v>0.05</v>
      </c>
      <c r="Z10" s="193">
        <v>0.1</v>
      </c>
      <c r="AA10" s="193">
        <v>0.15</v>
      </c>
      <c r="AB10" s="193">
        <v>0.2</v>
      </c>
      <c r="AC10" s="193">
        <v>0.25</v>
      </c>
      <c r="AD10" s="193">
        <v>0.3</v>
      </c>
      <c r="AE10" s="193">
        <v>0.35</v>
      </c>
      <c r="AF10" s="193">
        <v>0.4</v>
      </c>
      <c r="AG10" s="193">
        <v>0.45</v>
      </c>
      <c r="AH10" s="193">
        <v>0.5</v>
      </c>
      <c r="AI10" s="193">
        <v>0.55000000000000004</v>
      </c>
    </row>
    <row r="11" spans="1:35" x14ac:dyDescent="0.35">
      <c r="A11" s="1"/>
      <c r="B11" s="1" t="s">
        <v>31</v>
      </c>
      <c r="C11" s="2">
        <v>80</v>
      </c>
      <c r="D11" s="2">
        <v>80</v>
      </c>
      <c r="E11" s="2">
        <v>110</v>
      </c>
      <c r="F11" s="2">
        <v>110</v>
      </c>
      <c r="G11" s="2">
        <v>80</v>
      </c>
      <c r="H11" s="2">
        <v>80</v>
      </c>
      <c r="I11" s="2">
        <v>110</v>
      </c>
      <c r="J11" s="2">
        <v>140</v>
      </c>
      <c r="K11" s="2">
        <v>170</v>
      </c>
      <c r="L11" s="2">
        <v>190</v>
      </c>
      <c r="M11" s="2">
        <v>220</v>
      </c>
      <c r="N11" s="2">
        <v>250</v>
      </c>
      <c r="O11" s="2">
        <v>250</v>
      </c>
      <c r="P11" s="2">
        <v>250</v>
      </c>
      <c r="Q11" s="2">
        <v>280</v>
      </c>
    </row>
    <row r="12" spans="1:35" x14ac:dyDescent="0.35">
      <c r="A12" s="1"/>
      <c r="B12" s="1" t="s">
        <v>33</v>
      </c>
      <c r="C12" s="2">
        <v>110</v>
      </c>
      <c r="D12" s="2">
        <v>170</v>
      </c>
      <c r="E12" s="2">
        <v>220</v>
      </c>
      <c r="F12" s="2">
        <v>220</v>
      </c>
      <c r="G12" s="2">
        <v>110</v>
      </c>
      <c r="H12" s="2">
        <v>170</v>
      </c>
      <c r="I12" s="2">
        <v>220</v>
      </c>
      <c r="J12" s="2">
        <v>220</v>
      </c>
      <c r="K12" s="2">
        <v>280</v>
      </c>
      <c r="L12" s="2">
        <v>280</v>
      </c>
      <c r="M12" s="2">
        <v>280</v>
      </c>
      <c r="N12" s="2">
        <v>280</v>
      </c>
      <c r="O12" s="2">
        <v>280</v>
      </c>
      <c r="P12" s="2">
        <v>280</v>
      </c>
      <c r="Q12" s="2">
        <v>280</v>
      </c>
    </row>
    <row r="13" spans="1:35" x14ac:dyDescent="0.35">
      <c r="A13" s="1"/>
      <c r="B13" s="1" t="s">
        <v>32</v>
      </c>
      <c r="C13" s="2">
        <v>220</v>
      </c>
      <c r="D13" s="2">
        <v>280</v>
      </c>
      <c r="E13" s="2">
        <v>280</v>
      </c>
      <c r="F13" s="2">
        <v>280</v>
      </c>
      <c r="G13" s="2">
        <v>220</v>
      </c>
      <c r="H13" s="2">
        <v>280</v>
      </c>
      <c r="I13" s="2">
        <v>330</v>
      </c>
      <c r="J13" s="2">
        <v>330</v>
      </c>
      <c r="K13" s="2">
        <v>390</v>
      </c>
      <c r="L13" s="2">
        <v>390</v>
      </c>
      <c r="M13" s="2">
        <v>390</v>
      </c>
      <c r="N13" s="2">
        <v>390</v>
      </c>
      <c r="O13" s="2">
        <v>390</v>
      </c>
      <c r="P13" s="2">
        <v>390</v>
      </c>
      <c r="Q13" s="2">
        <v>390</v>
      </c>
    </row>
    <row r="14" spans="1:35" x14ac:dyDescent="0.35">
      <c r="A14" s="1"/>
      <c r="B14" s="1" t="s">
        <v>34</v>
      </c>
      <c r="C14" s="2">
        <v>330</v>
      </c>
      <c r="D14" s="2">
        <v>330</v>
      </c>
      <c r="E14" s="2">
        <v>390</v>
      </c>
      <c r="F14" s="2">
        <v>390</v>
      </c>
      <c r="G14" s="2">
        <v>330</v>
      </c>
      <c r="H14" s="2">
        <v>330</v>
      </c>
      <c r="I14" s="2">
        <v>390</v>
      </c>
      <c r="J14" s="2">
        <v>440</v>
      </c>
      <c r="K14" s="2">
        <v>500</v>
      </c>
      <c r="L14" s="2">
        <v>550</v>
      </c>
      <c r="M14" s="2">
        <v>550</v>
      </c>
      <c r="N14" s="2">
        <v>610</v>
      </c>
      <c r="O14" s="2">
        <v>610</v>
      </c>
      <c r="P14" s="2">
        <v>660</v>
      </c>
      <c r="Q14" s="2">
        <v>660</v>
      </c>
      <c r="U14" s="419">
        <v>7.4999999999999997E-2</v>
      </c>
    </row>
    <row r="15" spans="1:35" x14ac:dyDescent="0.35">
      <c r="A15" s="1"/>
      <c r="B15" s="1" t="s">
        <v>35</v>
      </c>
      <c r="C15" s="2">
        <v>80</v>
      </c>
      <c r="D15" s="2">
        <v>110</v>
      </c>
      <c r="E15" s="2">
        <v>140</v>
      </c>
      <c r="F15" s="2">
        <v>140</v>
      </c>
      <c r="G15" s="2">
        <v>80</v>
      </c>
      <c r="H15" s="2">
        <v>110</v>
      </c>
      <c r="I15" s="2">
        <v>140</v>
      </c>
      <c r="J15" s="2">
        <v>140</v>
      </c>
      <c r="K15" s="2">
        <v>170</v>
      </c>
      <c r="L15" s="2">
        <v>170</v>
      </c>
      <c r="M15" s="2">
        <v>190</v>
      </c>
      <c r="N15" s="2">
        <v>190</v>
      </c>
      <c r="O15" s="2">
        <v>220</v>
      </c>
      <c r="P15" s="2">
        <v>220</v>
      </c>
      <c r="Q15" s="2">
        <v>250</v>
      </c>
    </row>
    <row r="16" spans="1:35" x14ac:dyDescent="0.35">
      <c r="U16">
        <f>ROUND(U3*(1+$U$14),2)</f>
        <v>76.03</v>
      </c>
      <c r="V16">
        <f t="shared" ref="V16:AI16" si="0">ROUND(V3*(1+$U$14),2)</f>
        <v>234.93</v>
      </c>
      <c r="W16">
        <f t="shared" si="0"/>
        <v>278.77999999999997</v>
      </c>
      <c r="X16">
        <f t="shared" si="0"/>
        <v>292.08999999999997</v>
      </c>
      <c r="Y16">
        <f t="shared" si="0"/>
        <v>42.91</v>
      </c>
      <c r="Z16">
        <f t="shared" si="0"/>
        <v>62.49</v>
      </c>
      <c r="AA16">
        <f t="shared" si="0"/>
        <v>98.18</v>
      </c>
      <c r="AB16">
        <f t="shared" si="0"/>
        <v>130.34</v>
      </c>
      <c r="AC16">
        <f t="shared" si="0"/>
        <v>169.89</v>
      </c>
      <c r="AD16">
        <f t="shared" si="0"/>
        <v>208.81</v>
      </c>
      <c r="AE16">
        <f t="shared" si="0"/>
        <v>247.71</v>
      </c>
      <c r="AF16">
        <f t="shared" si="0"/>
        <v>286.62</v>
      </c>
      <c r="AG16">
        <f t="shared" si="0"/>
        <v>325.52999999999997</v>
      </c>
      <c r="AH16">
        <f t="shared" si="0"/>
        <v>364.44</v>
      </c>
      <c r="AI16">
        <f t="shared" si="0"/>
        <v>403.34</v>
      </c>
    </row>
    <row r="17" spans="1:35" x14ac:dyDescent="0.35">
      <c r="U17">
        <f t="shared" ref="U17:AI17" si="1">ROUND(U4*(1+$U$14),2)</f>
        <v>316.79000000000002</v>
      </c>
      <c r="V17">
        <f t="shared" si="1"/>
        <v>1140.45</v>
      </c>
      <c r="W17">
        <f t="shared" si="1"/>
        <v>1393.88</v>
      </c>
      <c r="X17">
        <f t="shared" si="1"/>
        <v>1393.88</v>
      </c>
      <c r="Y17">
        <f t="shared" si="1"/>
        <v>230.3</v>
      </c>
      <c r="Z17">
        <f t="shared" si="1"/>
        <v>230.3</v>
      </c>
      <c r="AA17">
        <f t="shared" si="1"/>
        <v>366.05</v>
      </c>
      <c r="AB17">
        <f t="shared" si="1"/>
        <v>393.92</v>
      </c>
      <c r="AC17">
        <f t="shared" si="1"/>
        <v>575.73</v>
      </c>
      <c r="AD17">
        <f t="shared" si="1"/>
        <v>709.06</v>
      </c>
      <c r="AE17">
        <f t="shared" si="1"/>
        <v>902.99</v>
      </c>
      <c r="AF17">
        <f t="shared" si="1"/>
        <v>1060.55</v>
      </c>
      <c r="AG17">
        <f t="shared" si="1"/>
        <v>1224.19</v>
      </c>
      <c r="AH17">
        <f t="shared" si="1"/>
        <v>1381.75</v>
      </c>
      <c r="AI17">
        <f t="shared" si="1"/>
        <v>1545.38</v>
      </c>
    </row>
    <row r="18" spans="1:35" x14ac:dyDescent="0.35">
      <c r="U18">
        <f t="shared" ref="U18:AI18" si="2">ROUND(U5*(1+$U$14),2)</f>
        <v>76.03</v>
      </c>
      <c r="V18">
        <f t="shared" si="2"/>
        <v>234.93</v>
      </c>
      <c r="W18">
        <f t="shared" si="2"/>
        <v>278.77999999999997</v>
      </c>
      <c r="X18">
        <f t="shared" si="2"/>
        <v>292.08999999999997</v>
      </c>
      <c r="Y18">
        <f t="shared" si="2"/>
        <v>42.91</v>
      </c>
      <c r="Z18">
        <f t="shared" si="2"/>
        <v>62.49</v>
      </c>
      <c r="AA18">
        <f t="shared" si="2"/>
        <v>98.18</v>
      </c>
      <c r="AB18">
        <f t="shared" si="2"/>
        <v>130.34</v>
      </c>
      <c r="AC18">
        <f t="shared" si="2"/>
        <v>169.89</v>
      </c>
      <c r="AD18">
        <f t="shared" si="2"/>
        <v>208.81</v>
      </c>
      <c r="AE18">
        <f t="shared" si="2"/>
        <v>247.71</v>
      </c>
      <c r="AF18">
        <f t="shared" si="2"/>
        <v>286.62</v>
      </c>
      <c r="AG18">
        <f t="shared" si="2"/>
        <v>325.52999999999997</v>
      </c>
      <c r="AH18">
        <f t="shared" si="2"/>
        <v>364.44</v>
      </c>
      <c r="AI18">
        <f t="shared" si="2"/>
        <v>403.34</v>
      </c>
    </row>
    <row r="19" spans="1:35" x14ac:dyDescent="0.35">
      <c r="U19">
        <f t="shared" ref="U19:AI19" si="3">ROUND(U6*(1+$U$14),2)</f>
        <v>316.79000000000002</v>
      </c>
      <c r="V19">
        <f t="shared" si="3"/>
        <v>1140.45</v>
      </c>
      <c r="W19">
        <f t="shared" si="3"/>
        <v>1393.88</v>
      </c>
      <c r="X19">
        <f t="shared" si="3"/>
        <v>1393.88</v>
      </c>
      <c r="Y19">
        <f t="shared" si="3"/>
        <v>230.3</v>
      </c>
      <c r="Z19">
        <f t="shared" si="3"/>
        <v>230.3</v>
      </c>
      <c r="AA19">
        <f t="shared" si="3"/>
        <v>366.05</v>
      </c>
      <c r="AB19">
        <f t="shared" si="3"/>
        <v>393.92</v>
      </c>
      <c r="AC19">
        <f t="shared" si="3"/>
        <v>575.73</v>
      </c>
      <c r="AD19">
        <f t="shared" si="3"/>
        <v>709.06</v>
      </c>
      <c r="AE19">
        <f t="shared" si="3"/>
        <v>902.99</v>
      </c>
      <c r="AF19">
        <f t="shared" si="3"/>
        <v>1060.55</v>
      </c>
      <c r="AG19">
        <f t="shared" si="3"/>
        <v>1224.19</v>
      </c>
      <c r="AH19">
        <f t="shared" si="3"/>
        <v>1381.75</v>
      </c>
      <c r="AI19">
        <f t="shared" si="3"/>
        <v>1545.38</v>
      </c>
    </row>
    <row r="20" spans="1:35" x14ac:dyDescent="0.35">
      <c r="U20">
        <f t="shared" ref="U20:AI20" si="4">ROUND(U7*(1+$U$14),2)</f>
        <v>72.23</v>
      </c>
      <c r="V20">
        <f t="shared" si="4"/>
        <v>221.88</v>
      </c>
      <c r="W20">
        <f t="shared" si="4"/>
        <v>266.11</v>
      </c>
      <c r="X20">
        <f t="shared" si="4"/>
        <v>278.77999999999997</v>
      </c>
      <c r="Y20">
        <f t="shared" si="4"/>
        <v>42.91</v>
      </c>
      <c r="Z20">
        <f t="shared" si="4"/>
        <v>62.49</v>
      </c>
      <c r="AA20">
        <f t="shared" si="4"/>
        <v>98.18</v>
      </c>
      <c r="AB20">
        <f t="shared" si="4"/>
        <v>130.34</v>
      </c>
      <c r="AC20">
        <f t="shared" si="4"/>
        <v>169.89</v>
      </c>
      <c r="AD20">
        <f t="shared" si="4"/>
        <v>208.81</v>
      </c>
      <c r="AE20">
        <f t="shared" si="4"/>
        <v>247.71</v>
      </c>
      <c r="AF20">
        <f t="shared" si="4"/>
        <v>286.62</v>
      </c>
      <c r="AG20">
        <f t="shared" si="4"/>
        <v>325.52999999999997</v>
      </c>
      <c r="AH20">
        <f t="shared" si="4"/>
        <v>364.44</v>
      </c>
      <c r="AI20">
        <f t="shared" si="4"/>
        <v>403.34</v>
      </c>
    </row>
    <row r="21" spans="1:35" x14ac:dyDescent="0.35">
      <c r="B21" s="48"/>
      <c r="C21" s="2" t="s">
        <v>29</v>
      </c>
      <c r="D21" s="2" t="s">
        <v>157</v>
      </c>
      <c r="E21" s="2" t="s">
        <v>30</v>
      </c>
      <c r="H21" s="2" t="s">
        <v>390</v>
      </c>
      <c r="U21">
        <f t="shared" ref="U21:AI21" si="5">ROUND(U8*(1+$U$14),2)</f>
        <v>380.15</v>
      </c>
      <c r="V21">
        <f t="shared" si="5"/>
        <v>918.68</v>
      </c>
      <c r="W21">
        <f t="shared" si="5"/>
        <v>1172.1199999999999</v>
      </c>
      <c r="X21">
        <f t="shared" si="5"/>
        <v>1172.1199999999999</v>
      </c>
      <c r="Y21">
        <f t="shared" si="5"/>
        <v>199.99</v>
      </c>
      <c r="Z21">
        <f t="shared" si="5"/>
        <v>224.23</v>
      </c>
      <c r="AA21">
        <f t="shared" si="5"/>
        <v>366.53</v>
      </c>
      <c r="AB21">
        <f t="shared" si="5"/>
        <v>424.23</v>
      </c>
      <c r="AC21">
        <f t="shared" si="5"/>
        <v>515.13</v>
      </c>
      <c r="AD21">
        <f t="shared" si="5"/>
        <v>618.16</v>
      </c>
      <c r="AE21">
        <f t="shared" si="5"/>
        <v>818.14</v>
      </c>
      <c r="AF21">
        <f t="shared" si="5"/>
        <v>1090.8599999999999</v>
      </c>
      <c r="AG21">
        <f t="shared" si="5"/>
        <v>1284.79</v>
      </c>
      <c r="AH21">
        <f t="shared" si="5"/>
        <v>1478.72</v>
      </c>
      <c r="AI21">
        <f t="shared" si="5"/>
        <v>1672.65</v>
      </c>
    </row>
    <row r="22" spans="1:35" x14ac:dyDescent="0.35">
      <c r="B22" s="48" t="s">
        <v>150</v>
      </c>
      <c r="C22" s="46">
        <v>0</v>
      </c>
      <c r="D22" s="46">
        <v>0</v>
      </c>
      <c r="E22" s="46">
        <v>0</v>
      </c>
      <c r="G22" t="s">
        <v>114</v>
      </c>
      <c r="H22" s="2">
        <v>0</v>
      </c>
      <c r="U22">
        <f t="shared" ref="U22:AI22" si="6">ROUND(U9*(1+$U$14),2)</f>
        <v>570.22</v>
      </c>
      <c r="V22">
        <f t="shared" si="6"/>
        <v>1457.23</v>
      </c>
      <c r="W22">
        <f t="shared" si="6"/>
        <v>1520.59</v>
      </c>
      <c r="X22">
        <f t="shared" si="6"/>
        <v>1520.59</v>
      </c>
      <c r="Y22">
        <f t="shared" si="6"/>
        <v>333.31</v>
      </c>
      <c r="Z22">
        <f t="shared" si="6"/>
        <v>393.92</v>
      </c>
      <c r="AA22">
        <f t="shared" si="6"/>
        <v>589.07000000000005</v>
      </c>
      <c r="AB22">
        <f t="shared" si="6"/>
        <v>727.24</v>
      </c>
      <c r="AC22">
        <f t="shared" si="6"/>
        <v>969.65</v>
      </c>
      <c r="AD22">
        <f t="shared" si="6"/>
        <v>1151.46</v>
      </c>
      <c r="AE22">
        <f t="shared" si="6"/>
        <v>1454.48</v>
      </c>
      <c r="AF22">
        <f t="shared" si="6"/>
        <v>1545.38</v>
      </c>
      <c r="AG22">
        <f t="shared" si="6"/>
        <v>1605.99</v>
      </c>
      <c r="AH22">
        <f t="shared" si="6"/>
        <v>1670.23</v>
      </c>
      <c r="AI22">
        <f t="shared" si="6"/>
        <v>1734.46</v>
      </c>
    </row>
    <row r="23" spans="1:35" x14ac:dyDescent="0.35">
      <c r="B23" s="48" t="s">
        <v>151</v>
      </c>
      <c r="C23" s="46">
        <v>0.25</v>
      </c>
      <c r="D23" s="46">
        <v>0.25</v>
      </c>
      <c r="E23" s="46">
        <v>0.5</v>
      </c>
      <c r="G23" t="str">
        <f>"1 Frameless" &amp; " - " &amp; "$" &amp; H23</f>
        <v>1 Frameless - $165</v>
      </c>
      <c r="H23" s="324">
        <v>165</v>
      </c>
      <c r="U23">
        <f t="shared" ref="U23:AI23" si="7">ROUND(U10*(1+$U$14),2)</f>
        <v>0.11</v>
      </c>
      <c r="V23">
        <f t="shared" si="7"/>
        <v>0.16</v>
      </c>
      <c r="W23">
        <f t="shared" si="7"/>
        <v>0.27</v>
      </c>
      <c r="X23">
        <f t="shared" si="7"/>
        <v>0.32</v>
      </c>
      <c r="Y23">
        <f t="shared" si="7"/>
        <v>0.05</v>
      </c>
      <c r="Z23">
        <f t="shared" si="7"/>
        <v>0.11</v>
      </c>
      <c r="AA23">
        <f t="shared" si="7"/>
        <v>0.16</v>
      </c>
      <c r="AB23">
        <f t="shared" si="7"/>
        <v>0.22</v>
      </c>
      <c r="AC23">
        <f t="shared" si="7"/>
        <v>0.27</v>
      </c>
      <c r="AD23">
        <f t="shared" si="7"/>
        <v>0.32</v>
      </c>
      <c r="AE23">
        <f t="shared" si="7"/>
        <v>0.38</v>
      </c>
      <c r="AF23">
        <f t="shared" si="7"/>
        <v>0.43</v>
      </c>
      <c r="AG23">
        <f t="shared" si="7"/>
        <v>0.48</v>
      </c>
      <c r="AH23">
        <f t="shared" si="7"/>
        <v>0.54</v>
      </c>
      <c r="AI23">
        <f t="shared" si="7"/>
        <v>0.59</v>
      </c>
    </row>
    <row r="24" spans="1:35" x14ac:dyDescent="0.35">
      <c r="B24" s="48" t="s">
        <v>152</v>
      </c>
      <c r="C24" s="46">
        <v>0.4</v>
      </c>
      <c r="D24" s="46">
        <v>0.4</v>
      </c>
      <c r="E24" s="46">
        <v>0.75</v>
      </c>
      <c r="G24" t="str">
        <f>"2 Frameless" &amp; " - " &amp; "$" &amp; H24</f>
        <v>2 Frameless - $320</v>
      </c>
      <c r="H24" s="45">
        <v>320</v>
      </c>
      <c r="W24">
        <f t="shared" ref="W24:AH24" si="8">W11*$U$14</f>
        <v>0</v>
      </c>
      <c r="X24">
        <f t="shared" si="8"/>
        <v>0</v>
      </c>
      <c r="Y24">
        <f t="shared" si="8"/>
        <v>0</v>
      </c>
      <c r="Z24">
        <f t="shared" si="8"/>
        <v>0</v>
      </c>
      <c r="AA24">
        <f t="shared" si="8"/>
        <v>0</v>
      </c>
      <c r="AB24">
        <f t="shared" si="8"/>
        <v>0</v>
      </c>
      <c r="AC24">
        <f t="shared" si="8"/>
        <v>0</v>
      </c>
      <c r="AD24">
        <f t="shared" si="8"/>
        <v>0</v>
      </c>
      <c r="AE24">
        <f t="shared" si="8"/>
        <v>0</v>
      </c>
      <c r="AF24">
        <f t="shared" si="8"/>
        <v>0</v>
      </c>
      <c r="AG24">
        <f t="shared" si="8"/>
        <v>0</v>
      </c>
      <c r="AH24">
        <f t="shared" si="8"/>
        <v>0</v>
      </c>
    </row>
    <row r="25" spans="1:35" x14ac:dyDescent="0.35">
      <c r="B25" s="48" t="s">
        <v>153</v>
      </c>
      <c r="C25" s="46">
        <v>0.5</v>
      </c>
      <c r="D25" s="46">
        <v>0.5</v>
      </c>
      <c r="E25" s="46">
        <v>1</v>
      </c>
      <c r="G25" t="str">
        <f>"1 Framed" &amp; " - " &amp; "$" &amp; H25</f>
        <v>1 Framed - $250</v>
      </c>
      <c r="H25" s="45">
        <v>250</v>
      </c>
    </row>
    <row r="26" spans="1:35" x14ac:dyDescent="0.35">
      <c r="B26" s="48" t="s">
        <v>154</v>
      </c>
      <c r="C26" s="46">
        <v>1</v>
      </c>
      <c r="D26" s="46">
        <v>1</v>
      </c>
      <c r="E26" s="46">
        <v>2</v>
      </c>
      <c r="G26" t="str">
        <f>"2 Framed" &amp; " - " &amp; "$" &amp; H26</f>
        <v>2 Framed - $500</v>
      </c>
      <c r="H26" s="45">
        <v>500</v>
      </c>
    </row>
    <row r="27" spans="1:35" x14ac:dyDescent="0.35">
      <c r="B27" s="48" t="s">
        <v>155</v>
      </c>
      <c r="C27" s="46">
        <v>2</v>
      </c>
      <c r="D27" s="46">
        <v>2</v>
      </c>
      <c r="E27" s="46">
        <v>3</v>
      </c>
    </row>
    <row r="28" spans="1:35" x14ac:dyDescent="0.35">
      <c r="B28" s="48" t="s">
        <v>156</v>
      </c>
      <c r="C28" s="46">
        <v>3</v>
      </c>
      <c r="D28" s="46">
        <v>3</v>
      </c>
      <c r="E28" s="46">
        <v>5</v>
      </c>
    </row>
    <row r="29" spans="1:35" x14ac:dyDescent="0.35">
      <c r="B29" s="48" t="s">
        <v>147</v>
      </c>
      <c r="C29" s="46">
        <v>4</v>
      </c>
      <c r="D29" s="46">
        <v>4</v>
      </c>
      <c r="E29" s="46">
        <v>7</v>
      </c>
      <c r="G29" s="408"/>
      <c r="H29" s="408"/>
      <c r="I29" s="408"/>
    </row>
    <row r="30" spans="1:35" x14ac:dyDescent="0.35">
      <c r="G30" s="409"/>
      <c r="H30" s="409"/>
      <c r="I30" s="409"/>
    </row>
    <row r="31" spans="1:35" x14ac:dyDescent="0.35">
      <c r="A31" t="s">
        <v>465</v>
      </c>
    </row>
    <row r="32" spans="1:35" x14ac:dyDescent="0.35">
      <c r="A32" t="s">
        <v>418</v>
      </c>
      <c r="B32" s="1" t="s">
        <v>416</v>
      </c>
      <c r="C32" s="338" t="s">
        <v>417</v>
      </c>
      <c r="D32" s="339">
        <v>0.03</v>
      </c>
      <c r="E32" s="339">
        <v>0.05</v>
      </c>
      <c r="F32" s="339">
        <v>0.05</v>
      </c>
      <c r="G32" s="339">
        <v>0.03</v>
      </c>
      <c r="H32" s="339">
        <v>0.03</v>
      </c>
      <c r="I32" s="340">
        <v>0.05</v>
      </c>
    </row>
    <row r="33" spans="1:17" x14ac:dyDescent="0.35">
      <c r="B33" s="1" t="s">
        <v>433</v>
      </c>
      <c r="C33" s="345" t="s">
        <v>434</v>
      </c>
      <c r="E33" s="345" t="s">
        <v>435</v>
      </c>
      <c r="F33" s="345" t="s">
        <v>435</v>
      </c>
      <c r="G33" s="345" t="s">
        <v>436</v>
      </c>
      <c r="H33" s="345" t="s">
        <v>437</v>
      </c>
    </row>
    <row r="34" spans="1:17" x14ac:dyDescent="0.35">
      <c r="B34" s="1" t="s">
        <v>444</v>
      </c>
      <c r="G34" s="345" t="s">
        <v>459</v>
      </c>
      <c r="H34" s="345" t="s">
        <v>459</v>
      </c>
      <c r="I34" s="345" t="s">
        <v>457</v>
      </c>
    </row>
    <row r="35" spans="1:17" x14ac:dyDescent="0.35">
      <c r="A35" s="341"/>
      <c r="B35" s="319" t="s">
        <v>464</v>
      </c>
      <c r="C35" s="416">
        <v>0.15</v>
      </c>
      <c r="D35" s="416">
        <v>0.15</v>
      </c>
      <c r="E35" s="416">
        <v>0.15</v>
      </c>
      <c r="F35" s="416">
        <v>0.15</v>
      </c>
      <c r="G35" s="417">
        <v>0.1</v>
      </c>
      <c r="H35" s="417">
        <v>0.1</v>
      </c>
      <c r="I35" s="417">
        <v>0.1</v>
      </c>
      <c r="J35" s="417">
        <v>0.1</v>
      </c>
      <c r="K35" s="417">
        <v>0.1</v>
      </c>
      <c r="L35" s="417">
        <v>0.1</v>
      </c>
      <c r="M35" s="417">
        <v>0.1</v>
      </c>
      <c r="N35" s="417">
        <v>0.1</v>
      </c>
      <c r="O35" s="417">
        <v>0.1</v>
      </c>
      <c r="P35" s="417">
        <v>0.1</v>
      </c>
      <c r="Q35" s="417">
        <v>0.1</v>
      </c>
    </row>
    <row r="36" spans="1:17" x14ac:dyDescent="0.35">
      <c r="B36" t="s">
        <v>149</v>
      </c>
      <c r="C36" t="s">
        <v>463</v>
      </c>
      <c r="G36" s="345" t="s">
        <v>460</v>
      </c>
      <c r="H36" s="345" t="s">
        <v>460</v>
      </c>
      <c r="I36" s="345" t="s">
        <v>461</v>
      </c>
      <c r="J36" s="411" t="s">
        <v>462</v>
      </c>
      <c r="K36" s="411" t="s">
        <v>462</v>
      </c>
      <c r="L36" s="411" t="s">
        <v>462</v>
      </c>
      <c r="M36" s="411" t="s">
        <v>462</v>
      </c>
      <c r="N36" s="411" t="s">
        <v>462</v>
      </c>
      <c r="O36" s="411" t="s">
        <v>462</v>
      </c>
      <c r="P36" s="411" t="s">
        <v>462</v>
      </c>
      <c r="Q36" s="411" t="s">
        <v>462</v>
      </c>
    </row>
    <row r="37" spans="1:17" x14ac:dyDescent="0.35">
      <c r="B37" s="1" t="s">
        <v>466</v>
      </c>
      <c r="C37" s="418" t="s">
        <v>467</v>
      </c>
      <c r="D37" s="418" t="s">
        <v>467</v>
      </c>
      <c r="E37" s="418" t="s">
        <v>467</v>
      </c>
      <c r="F37" s="418" t="s">
        <v>467</v>
      </c>
      <c r="G37" s="418" t="s">
        <v>467</v>
      </c>
      <c r="H37" s="418" t="s">
        <v>467</v>
      </c>
      <c r="I37" s="418" t="s">
        <v>467</v>
      </c>
      <c r="J37" s="418" t="s">
        <v>467</v>
      </c>
      <c r="K37" s="418" t="s">
        <v>467</v>
      </c>
      <c r="L37" s="418" t="s">
        <v>467</v>
      </c>
      <c r="M37" s="418" t="s">
        <v>467</v>
      </c>
      <c r="N37" s="418" t="s">
        <v>467</v>
      </c>
      <c r="O37" s="418" t="s">
        <v>467</v>
      </c>
      <c r="P37" s="418" t="s">
        <v>467</v>
      </c>
      <c r="Q37" s="418" t="s">
        <v>467</v>
      </c>
    </row>
  </sheetData>
  <sheetProtection sheet="1" selectLockedCells="1"/>
  <mergeCells count="3">
    <mergeCell ref="A2:A3"/>
    <mergeCell ref="A4:A5"/>
    <mergeCell ref="A6:A7"/>
  </mergeCells>
  <pageMargins left="0.25" right="0.25" top="0.75" bottom="0.75" header="0.3" footer="0.3"/>
  <pageSetup scale="62"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pageSetUpPr fitToPage="1"/>
  </sheetPr>
  <dimension ref="A1:A3"/>
  <sheetViews>
    <sheetView topLeftCell="A2" workbookViewId="0">
      <selection activeCell="A2" sqref="A2"/>
    </sheetView>
  </sheetViews>
  <sheetFormatPr defaultColWidth="0" defaultRowHeight="14.5" zeroHeight="1" x14ac:dyDescent="0.35"/>
  <cols>
    <col min="1" max="1" width="193.453125" customWidth="1"/>
    <col min="2" max="16384" width="9.1796875" hidden="1"/>
  </cols>
  <sheetData>
    <row r="1" spans="1:1" ht="29.25" customHeight="1" x14ac:dyDescent="0.35"/>
    <row r="2" spans="1:1" ht="409.5" customHeight="1" x14ac:dyDescent="0.35"/>
    <row r="3" spans="1:1" hidden="1" x14ac:dyDescent="0.35">
      <c r="A3" s="256"/>
    </row>
  </sheetData>
  <printOptions horizontalCentered="1"/>
  <pageMargins left="0.7" right="0.7" top="0.75" bottom="0.75" header="0.3" footer="0.3"/>
  <pageSetup scale="62" orientation="landscape" r:id="rId1"/>
  <drawing r:id="rId2"/>
  <legacyDrawing r:id="rId3"/>
  <controls>
    <mc:AlternateContent xmlns:mc="http://schemas.openxmlformats.org/markup-compatibility/2006">
      <mc:Choice Requires="x14">
        <control shapeId="19463" r:id="rId4" name="CommandButton1">
          <controlPr defaultSize="0" autoLine="0" r:id="rId5">
            <anchor moveWithCells="1">
              <from>
                <xdr:col>0</xdr:col>
                <xdr:colOff>546100</xdr:colOff>
                <xdr:row>0</xdr:row>
                <xdr:rowOff>57150</xdr:rowOff>
              </from>
              <to>
                <xdr:col>0</xdr:col>
                <xdr:colOff>1606550</xdr:colOff>
                <xdr:row>0</xdr:row>
                <xdr:rowOff>330200</xdr:rowOff>
              </to>
            </anchor>
          </controlPr>
        </control>
      </mc:Choice>
      <mc:Fallback>
        <control shapeId="19463" r:id="rId4"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33CCCC"/>
    <pageSetUpPr fitToPage="1"/>
  </sheetPr>
  <dimension ref="A1:WVP47"/>
  <sheetViews>
    <sheetView showGridLines="0" zoomScale="90" zoomScaleNormal="90" workbookViewId="0">
      <selection activeCell="E6" sqref="E6"/>
    </sheetView>
  </sheetViews>
  <sheetFormatPr defaultColWidth="0" defaultRowHeight="12.5" zeroHeight="1" x14ac:dyDescent="0.25"/>
  <cols>
    <col min="1" max="1" width="17.54296875" style="133" bestFit="1" customWidth="1"/>
    <col min="2" max="2" width="18.453125" style="133" customWidth="1"/>
    <col min="3" max="3" width="1.26953125" style="133" customWidth="1"/>
    <col min="4" max="4" width="18.26953125" style="133" bestFit="1" customWidth="1"/>
    <col min="5" max="5" width="21.453125" style="133" bestFit="1" customWidth="1"/>
    <col min="6" max="6" width="1.453125" style="133" customWidth="1"/>
    <col min="7" max="7" width="18.7265625" style="133" bestFit="1" customWidth="1"/>
    <col min="8" max="8" width="20.81640625" style="133" customWidth="1"/>
    <col min="9" max="9" width="5.26953125" style="167" customWidth="1"/>
    <col min="10" max="10" width="16.54296875" style="167" customWidth="1"/>
    <col min="11" max="11" width="15.453125" style="167" bestFit="1" customWidth="1"/>
    <col min="12" max="12" width="15.26953125" style="167" customWidth="1"/>
    <col min="13" max="13" width="14.81640625" style="167" customWidth="1"/>
    <col min="14" max="14" width="5" style="133" customWidth="1"/>
    <col min="15" max="253" width="9.1796875" style="133" hidden="1"/>
    <col min="254" max="255" width="18" style="133" hidden="1"/>
    <col min="256" max="256" width="0" style="133" hidden="1"/>
    <col min="257" max="257" width="17.1796875" style="133" hidden="1"/>
    <col min="258" max="258" width="9.81640625" style="133" hidden="1"/>
    <col min="259" max="259" width="0" style="133" hidden="1"/>
    <col min="260" max="260" width="8.453125" style="133" hidden="1"/>
    <col min="261" max="261" width="9.1796875" style="133" hidden="1"/>
    <col min="262" max="262" width="7.81640625" style="133" hidden="1"/>
    <col min="263" max="264" width="7" style="133" hidden="1"/>
    <col min="265" max="509" width="9.1796875" style="133" hidden="1"/>
    <col min="510" max="511" width="18" style="133" hidden="1"/>
    <col min="512" max="512" width="0" style="133" hidden="1"/>
    <col min="513" max="513" width="17.1796875" style="133" hidden="1"/>
    <col min="514" max="514" width="9.81640625" style="133" hidden="1"/>
    <col min="515" max="515" width="0" style="133" hidden="1"/>
    <col min="516" max="516" width="8.453125" style="133" hidden="1"/>
    <col min="517" max="517" width="9.1796875" style="133" hidden="1"/>
    <col min="518" max="518" width="7.81640625" style="133" hidden="1"/>
    <col min="519" max="520" width="7" style="133" hidden="1"/>
    <col min="521" max="765" width="9.1796875" style="133" hidden="1"/>
    <col min="766" max="767" width="18" style="133" hidden="1"/>
    <col min="768" max="768" width="0" style="133" hidden="1"/>
    <col min="769" max="769" width="17.1796875" style="133" hidden="1"/>
    <col min="770" max="770" width="9.81640625" style="133" hidden="1"/>
    <col min="771" max="771" width="0" style="133" hidden="1"/>
    <col min="772" max="772" width="8.453125" style="133" hidden="1"/>
    <col min="773" max="773" width="9.1796875" style="133" hidden="1"/>
    <col min="774" max="774" width="7.81640625" style="133" hidden="1"/>
    <col min="775" max="776" width="7" style="133" hidden="1"/>
    <col min="777" max="1021" width="9.1796875" style="133" hidden="1"/>
    <col min="1022" max="1023" width="18" style="133" hidden="1"/>
    <col min="1024" max="1024" width="0" style="133" hidden="1"/>
    <col min="1025" max="1025" width="17.1796875" style="133" hidden="1"/>
    <col min="1026" max="1026" width="9.81640625" style="133" hidden="1"/>
    <col min="1027" max="1027" width="0" style="133" hidden="1"/>
    <col min="1028" max="1028" width="8.453125" style="133" hidden="1"/>
    <col min="1029" max="1029" width="9.1796875" style="133" hidden="1"/>
    <col min="1030" max="1030" width="7.81640625" style="133" hidden="1"/>
    <col min="1031" max="1032" width="7" style="133" hidden="1"/>
    <col min="1033" max="1277" width="9.1796875" style="133" hidden="1"/>
    <col min="1278" max="1279" width="18" style="133" hidden="1"/>
    <col min="1280" max="1280" width="0" style="133" hidden="1"/>
    <col min="1281" max="1281" width="17.1796875" style="133" hidden="1"/>
    <col min="1282" max="1282" width="9.81640625" style="133" hidden="1"/>
    <col min="1283" max="1283" width="0" style="133" hidden="1"/>
    <col min="1284" max="1284" width="8.453125" style="133" hidden="1"/>
    <col min="1285" max="1285" width="9.1796875" style="133" hidden="1"/>
    <col min="1286" max="1286" width="7.81640625" style="133" hidden="1"/>
    <col min="1287" max="1288" width="7" style="133" hidden="1"/>
    <col min="1289" max="1533" width="9.1796875" style="133" hidden="1"/>
    <col min="1534" max="1535" width="18" style="133" hidden="1"/>
    <col min="1536" max="1536" width="0" style="133" hidden="1"/>
    <col min="1537" max="1537" width="17.1796875" style="133" hidden="1"/>
    <col min="1538" max="1538" width="9.81640625" style="133" hidden="1"/>
    <col min="1539" max="1539" width="0" style="133" hidden="1"/>
    <col min="1540" max="1540" width="8.453125" style="133" hidden="1"/>
    <col min="1541" max="1541" width="9.1796875" style="133" hidden="1"/>
    <col min="1542" max="1542" width="7.81640625" style="133" hidden="1"/>
    <col min="1543" max="1544" width="7" style="133" hidden="1"/>
    <col min="1545" max="1789" width="9.1796875" style="133" hidden="1"/>
    <col min="1790" max="1791" width="18" style="133" hidden="1"/>
    <col min="1792" max="1792" width="0" style="133" hidden="1"/>
    <col min="1793" max="1793" width="17.1796875" style="133" hidden="1"/>
    <col min="1794" max="1794" width="9.81640625" style="133" hidden="1"/>
    <col min="1795" max="1795" width="0" style="133" hidden="1"/>
    <col min="1796" max="1796" width="8.453125" style="133" hidden="1"/>
    <col min="1797" max="1797" width="9.1796875" style="133" hidden="1"/>
    <col min="1798" max="1798" width="7.81640625" style="133" hidden="1"/>
    <col min="1799" max="1800" width="7" style="133" hidden="1"/>
    <col min="1801" max="2045" width="9.1796875" style="133" hidden="1"/>
    <col min="2046" max="2047" width="18" style="133" hidden="1"/>
    <col min="2048" max="2048" width="0" style="133" hidden="1"/>
    <col min="2049" max="2049" width="17.1796875" style="133" hidden="1"/>
    <col min="2050" max="2050" width="9.81640625" style="133" hidden="1"/>
    <col min="2051" max="2051" width="0" style="133" hidden="1"/>
    <col min="2052" max="2052" width="8.453125" style="133" hidden="1"/>
    <col min="2053" max="2053" width="9.1796875" style="133" hidden="1"/>
    <col min="2054" max="2054" width="7.81640625" style="133" hidden="1"/>
    <col min="2055" max="2056" width="7" style="133" hidden="1"/>
    <col min="2057" max="2301" width="9.1796875" style="133" hidden="1"/>
    <col min="2302" max="2303" width="18" style="133" hidden="1"/>
    <col min="2304" max="2304" width="0" style="133" hidden="1"/>
    <col min="2305" max="2305" width="17.1796875" style="133" hidden="1"/>
    <col min="2306" max="2306" width="9.81640625" style="133" hidden="1"/>
    <col min="2307" max="2307" width="0" style="133" hidden="1"/>
    <col min="2308" max="2308" width="8.453125" style="133" hidden="1"/>
    <col min="2309" max="2309" width="9.1796875" style="133" hidden="1"/>
    <col min="2310" max="2310" width="7.81640625" style="133" hidden="1"/>
    <col min="2311" max="2312" width="7" style="133" hidden="1"/>
    <col min="2313" max="2557" width="9.1796875" style="133" hidden="1"/>
    <col min="2558" max="2559" width="18" style="133" hidden="1"/>
    <col min="2560" max="2560" width="0" style="133" hidden="1"/>
    <col min="2561" max="2561" width="17.1796875" style="133" hidden="1"/>
    <col min="2562" max="2562" width="9.81640625" style="133" hidden="1"/>
    <col min="2563" max="2563" width="0" style="133" hidden="1"/>
    <col min="2564" max="2564" width="8.453125" style="133" hidden="1"/>
    <col min="2565" max="2565" width="9.1796875" style="133" hidden="1"/>
    <col min="2566" max="2566" width="7.81640625" style="133" hidden="1"/>
    <col min="2567" max="2568" width="7" style="133" hidden="1"/>
    <col min="2569" max="2813" width="9.1796875" style="133" hidden="1"/>
    <col min="2814" max="2815" width="18" style="133" hidden="1"/>
    <col min="2816" max="2816" width="0" style="133" hidden="1"/>
    <col min="2817" max="2817" width="17.1796875" style="133" hidden="1"/>
    <col min="2818" max="2818" width="9.81640625" style="133" hidden="1"/>
    <col min="2819" max="2819" width="0" style="133" hidden="1"/>
    <col min="2820" max="2820" width="8.453125" style="133" hidden="1"/>
    <col min="2821" max="2821" width="9.1796875" style="133" hidden="1"/>
    <col min="2822" max="2822" width="7.81640625" style="133" hidden="1"/>
    <col min="2823" max="2824" width="7" style="133" hidden="1"/>
    <col min="2825" max="3069" width="9.1796875" style="133" hidden="1"/>
    <col min="3070" max="3071" width="18" style="133" hidden="1"/>
    <col min="3072" max="3072" width="0" style="133" hidden="1"/>
    <col min="3073" max="3073" width="17.1796875" style="133" hidden="1"/>
    <col min="3074" max="3074" width="9.81640625" style="133" hidden="1"/>
    <col min="3075" max="3075" width="0" style="133" hidden="1"/>
    <col min="3076" max="3076" width="8.453125" style="133" hidden="1"/>
    <col min="3077" max="3077" width="9.1796875" style="133" hidden="1"/>
    <col min="3078" max="3078" width="7.81640625" style="133" hidden="1"/>
    <col min="3079" max="3080" width="7" style="133" hidden="1"/>
    <col min="3081" max="3325" width="9.1796875" style="133" hidden="1"/>
    <col min="3326" max="3327" width="18" style="133" hidden="1"/>
    <col min="3328" max="3328" width="0" style="133" hidden="1"/>
    <col min="3329" max="3329" width="17.1796875" style="133" hidden="1"/>
    <col min="3330" max="3330" width="9.81640625" style="133" hidden="1"/>
    <col min="3331" max="3331" width="0" style="133" hidden="1"/>
    <col min="3332" max="3332" width="8.453125" style="133" hidden="1"/>
    <col min="3333" max="3333" width="9.1796875" style="133" hidden="1"/>
    <col min="3334" max="3334" width="7.81640625" style="133" hidden="1"/>
    <col min="3335" max="3336" width="7" style="133" hidden="1"/>
    <col min="3337" max="3581" width="9.1796875" style="133" hidden="1"/>
    <col min="3582" max="3583" width="18" style="133" hidden="1"/>
    <col min="3584" max="3584" width="0" style="133" hidden="1"/>
    <col min="3585" max="3585" width="17.1796875" style="133" hidden="1"/>
    <col min="3586" max="3586" width="9.81640625" style="133" hidden="1"/>
    <col min="3587" max="3587" width="0" style="133" hidden="1"/>
    <col min="3588" max="3588" width="8.453125" style="133" hidden="1"/>
    <col min="3589" max="3589" width="9.1796875" style="133" hidden="1"/>
    <col min="3590" max="3590" width="7.81640625" style="133" hidden="1"/>
    <col min="3591" max="3592" width="7" style="133" hidden="1"/>
    <col min="3593" max="3837" width="9.1796875" style="133" hidden="1"/>
    <col min="3838" max="3839" width="18" style="133" hidden="1"/>
    <col min="3840" max="3840" width="0" style="133" hidden="1"/>
    <col min="3841" max="3841" width="17.1796875" style="133" hidden="1"/>
    <col min="3842" max="3842" width="9.81640625" style="133" hidden="1"/>
    <col min="3843" max="3843" width="0" style="133" hidden="1"/>
    <col min="3844" max="3844" width="8.453125" style="133" hidden="1"/>
    <col min="3845" max="3845" width="9.1796875" style="133" hidden="1"/>
    <col min="3846" max="3846" width="7.81640625" style="133" hidden="1"/>
    <col min="3847" max="3848" width="7" style="133" hidden="1"/>
    <col min="3849" max="4093" width="9.1796875" style="133" hidden="1"/>
    <col min="4094" max="4095" width="18" style="133" hidden="1"/>
    <col min="4096" max="4096" width="0" style="133" hidden="1"/>
    <col min="4097" max="4097" width="17.1796875" style="133" hidden="1"/>
    <col min="4098" max="4098" width="9.81640625" style="133" hidden="1"/>
    <col min="4099" max="4099" width="0" style="133" hidden="1"/>
    <col min="4100" max="4100" width="8.453125" style="133" hidden="1"/>
    <col min="4101" max="4101" width="9.1796875" style="133" hidden="1"/>
    <col min="4102" max="4102" width="7.81640625" style="133" hidden="1"/>
    <col min="4103" max="4104" width="7" style="133" hidden="1"/>
    <col min="4105" max="4349" width="9.1796875" style="133" hidden="1"/>
    <col min="4350" max="4351" width="18" style="133" hidden="1"/>
    <col min="4352" max="4352" width="0" style="133" hidden="1"/>
    <col min="4353" max="4353" width="17.1796875" style="133" hidden="1"/>
    <col min="4354" max="4354" width="9.81640625" style="133" hidden="1"/>
    <col min="4355" max="4355" width="0" style="133" hidden="1"/>
    <col min="4356" max="4356" width="8.453125" style="133" hidden="1"/>
    <col min="4357" max="4357" width="9.1796875" style="133" hidden="1"/>
    <col min="4358" max="4358" width="7.81640625" style="133" hidden="1"/>
    <col min="4359" max="4360" width="7" style="133" hidden="1"/>
    <col min="4361" max="4605" width="9.1796875" style="133" hidden="1"/>
    <col min="4606" max="4607" width="18" style="133" hidden="1"/>
    <col min="4608" max="4608" width="0" style="133" hidden="1"/>
    <col min="4609" max="4609" width="17.1796875" style="133" hidden="1"/>
    <col min="4610" max="4610" width="9.81640625" style="133" hidden="1"/>
    <col min="4611" max="4611" width="0" style="133" hidden="1"/>
    <col min="4612" max="4612" width="8.453125" style="133" hidden="1"/>
    <col min="4613" max="4613" width="9.1796875" style="133" hidden="1"/>
    <col min="4614" max="4614" width="7.81640625" style="133" hidden="1"/>
    <col min="4615" max="4616" width="7" style="133" hidden="1"/>
    <col min="4617" max="4861" width="9.1796875" style="133" hidden="1"/>
    <col min="4862" max="4863" width="18" style="133" hidden="1"/>
    <col min="4864" max="4864" width="0" style="133" hidden="1"/>
    <col min="4865" max="4865" width="17.1796875" style="133" hidden="1"/>
    <col min="4866" max="4866" width="9.81640625" style="133" hidden="1"/>
    <col min="4867" max="4867" width="0" style="133" hidden="1"/>
    <col min="4868" max="4868" width="8.453125" style="133" hidden="1"/>
    <col min="4869" max="4869" width="9.1796875" style="133" hidden="1"/>
    <col min="4870" max="4870" width="7.81640625" style="133" hidden="1"/>
    <col min="4871" max="4872" width="7" style="133" hidden="1"/>
    <col min="4873" max="5117" width="9.1796875" style="133" hidden="1"/>
    <col min="5118" max="5119" width="18" style="133" hidden="1"/>
    <col min="5120" max="5120" width="0" style="133" hidden="1"/>
    <col min="5121" max="5121" width="17.1796875" style="133" hidden="1"/>
    <col min="5122" max="5122" width="9.81640625" style="133" hidden="1"/>
    <col min="5123" max="5123" width="0" style="133" hidden="1"/>
    <col min="5124" max="5124" width="8.453125" style="133" hidden="1"/>
    <col min="5125" max="5125" width="9.1796875" style="133" hidden="1"/>
    <col min="5126" max="5126" width="7.81640625" style="133" hidden="1"/>
    <col min="5127" max="5128" width="7" style="133" hidden="1"/>
    <col min="5129" max="5373" width="9.1796875" style="133" hidden="1"/>
    <col min="5374" max="5375" width="18" style="133" hidden="1"/>
    <col min="5376" max="5376" width="0" style="133" hidden="1"/>
    <col min="5377" max="5377" width="17.1796875" style="133" hidden="1"/>
    <col min="5378" max="5378" width="9.81640625" style="133" hidden="1"/>
    <col min="5379" max="5379" width="0" style="133" hidden="1"/>
    <col min="5380" max="5380" width="8.453125" style="133" hidden="1"/>
    <col min="5381" max="5381" width="9.1796875" style="133" hidden="1"/>
    <col min="5382" max="5382" width="7.81640625" style="133" hidden="1"/>
    <col min="5383" max="5384" width="7" style="133" hidden="1"/>
    <col min="5385" max="5629" width="9.1796875" style="133" hidden="1"/>
    <col min="5630" max="5631" width="18" style="133" hidden="1"/>
    <col min="5632" max="5632" width="0" style="133" hidden="1"/>
    <col min="5633" max="5633" width="17.1796875" style="133" hidden="1"/>
    <col min="5634" max="5634" width="9.81640625" style="133" hidden="1"/>
    <col min="5635" max="5635" width="0" style="133" hidden="1"/>
    <col min="5636" max="5636" width="8.453125" style="133" hidden="1"/>
    <col min="5637" max="5637" width="9.1796875" style="133" hidden="1"/>
    <col min="5638" max="5638" width="7.81640625" style="133" hidden="1"/>
    <col min="5639" max="5640" width="7" style="133" hidden="1"/>
    <col min="5641" max="5885" width="9.1796875" style="133" hidden="1"/>
    <col min="5886" max="5887" width="18" style="133" hidden="1"/>
    <col min="5888" max="5888" width="0" style="133" hidden="1"/>
    <col min="5889" max="5889" width="17.1796875" style="133" hidden="1"/>
    <col min="5890" max="5890" width="9.81640625" style="133" hidden="1"/>
    <col min="5891" max="5891" width="0" style="133" hidden="1"/>
    <col min="5892" max="5892" width="8.453125" style="133" hidden="1"/>
    <col min="5893" max="5893" width="9.1796875" style="133" hidden="1"/>
    <col min="5894" max="5894" width="7.81640625" style="133" hidden="1"/>
    <col min="5895" max="5896" width="7" style="133" hidden="1"/>
    <col min="5897" max="6141" width="9.1796875" style="133" hidden="1"/>
    <col min="6142" max="6143" width="18" style="133" hidden="1"/>
    <col min="6144" max="6144" width="0" style="133" hidden="1"/>
    <col min="6145" max="6145" width="17.1796875" style="133" hidden="1"/>
    <col min="6146" max="6146" width="9.81640625" style="133" hidden="1"/>
    <col min="6147" max="6147" width="0" style="133" hidden="1"/>
    <col min="6148" max="6148" width="8.453125" style="133" hidden="1"/>
    <col min="6149" max="6149" width="9.1796875" style="133" hidden="1"/>
    <col min="6150" max="6150" width="7.81640625" style="133" hidden="1"/>
    <col min="6151" max="6152" width="7" style="133" hidden="1"/>
    <col min="6153" max="6397" width="9.1796875" style="133" hidden="1"/>
    <col min="6398" max="6399" width="18" style="133" hidden="1"/>
    <col min="6400" max="6400" width="0" style="133" hidden="1"/>
    <col min="6401" max="6401" width="17.1796875" style="133" hidden="1"/>
    <col min="6402" max="6402" width="9.81640625" style="133" hidden="1"/>
    <col min="6403" max="6403" width="0" style="133" hidden="1"/>
    <col min="6404" max="6404" width="8.453125" style="133" hidden="1"/>
    <col min="6405" max="6405" width="9.1796875" style="133" hidden="1"/>
    <col min="6406" max="6406" width="7.81640625" style="133" hidden="1"/>
    <col min="6407" max="6408" width="7" style="133" hidden="1"/>
    <col min="6409" max="6653" width="9.1796875" style="133" hidden="1"/>
    <col min="6654" max="6655" width="18" style="133" hidden="1"/>
    <col min="6656" max="6656" width="0" style="133" hidden="1"/>
    <col min="6657" max="6657" width="17.1796875" style="133" hidden="1"/>
    <col min="6658" max="6658" width="9.81640625" style="133" hidden="1"/>
    <col min="6659" max="6659" width="0" style="133" hidden="1"/>
    <col min="6660" max="6660" width="8.453125" style="133" hidden="1"/>
    <col min="6661" max="6661" width="9.1796875" style="133" hidden="1"/>
    <col min="6662" max="6662" width="7.81640625" style="133" hidden="1"/>
    <col min="6663" max="6664" width="7" style="133" hidden="1"/>
    <col min="6665" max="6909" width="9.1796875" style="133" hidden="1"/>
    <col min="6910" max="6911" width="18" style="133" hidden="1"/>
    <col min="6912" max="6912" width="0" style="133" hidden="1"/>
    <col min="6913" max="6913" width="17.1796875" style="133" hidden="1"/>
    <col min="6914" max="6914" width="9.81640625" style="133" hidden="1"/>
    <col min="6915" max="6915" width="0" style="133" hidden="1"/>
    <col min="6916" max="6916" width="8.453125" style="133" hidden="1"/>
    <col min="6917" max="6917" width="9.1796875" style="133" hidden="1"/>
    <col min="6918" max="6918" width="7.81640625" style="133" hidden="1"/>
    <col min="6919" max="6920" width="7" style="133" hidden="1"/>
    <col min="6921" max="7165" width="9.1796875" style="133" hidden="1"/>
    <col min="7166" max="7167" width="18" style="133" hidden="1"/>
    <col min="7168" max="7168" width="0" style="133" hidden="1"/>
    <col min="7169" max="7169" width="17.1796875" style="133" hidden="1"/>
    <col min="7170" max="7170" width="9.81640625" style="133" hidden="1"/>
    <col min="7171" max="7171" width="0" style="133" hidden="1"/>
    <col min="7172" max="7172" width="8.453125" style="133" hidden="1"/>
    <col min="7173" max="7173" width="9.1796875" style="133" hidden="1"/>
    <col min="7174" max="7174" width="7.81640625" style="133" hidden="1"/>
    <col min="7175" max="7176" width="7" style="133" hidden="1"/>
    <col min="7177" max="7421" width="9.1796875" style="133" hidden="1"/>
    <col min="7422" max="7423" width="18" style="133" hidden="1"/>
    <col min="7424" max="7424" width="0" style="133" hidden="1"/>
    <col min="7425" max="7425" width="17.1796875" style="133" hidden="1"/>
    <col min="7426" max="7426" width="9.81640625" style="133" hidden="1"/>
    <col min="7427" max="7427" width="0" style="133" hidden="1"/>
    <col min="7428" max="7428" width="8.453125" style="133" hidden="1"/>
    <col min="7429" max="7429" width="9.1796875" style="133" hidden="1"/>
    <col min="7430" max="7430" width="7.81640625" style="133" hidden="1"/>
    <col min="7431" max="7432" width="7" style="133" hidden="1"/>
    <col min="7433" max="7677" width="9.1796875" style="133" hidden="1"/>
    <col min="7678" max="7679" width="18" style="133" hidden="1"/>
    <col min="7680" max="7680" width="0" style="133" hidden="1"/>
    <col min="7681" max="7681" width="17.1796875" style="133" hidden="1"/>
    <col min="7682" max="7682" width="9.81640625" style="133" hidden="1"/>
    <col min="7683" max="7683" width="0" style="133" hidden="1"/>
    <col min="7684" max="7684" width="8.453125" style="133" hidden="1"/>
    <col min="7685" max="7685" width="9.1796875" style="133" hidden="1"/>
    <col min="7686" max="7686" width="7.81640625" style="133" hidden="1"/>
    <col min="7687" max="7688" width="7" style="133" hidden="1"/>
    <col min="7689" max="7933" width="9.1796875" style="133" hidden="1"/>
    <col min="7934" max="7935" width="18" style="133" hidden="1"/>
    <col min="7936" max="7936" width="0" style="133" hidden="1"/>
    <col min="7937" max="7937" width="17.1796875" style="133" hidden="1"/>
    <col min="7938" max="7938" width="9.81640625" style="133" hidden="1"/>
    <col min="7939" max="7939" width="0" style="133" hidden="1"/>
    <col min="7940" max="7940" width="8.453125" style="133" hidden="1"/>
    <col min="7941" max="7941" width="9.1796875" style="133" hidden="1"/>
    <col min="7942" max="7942" width="7.81640625" style="133" hidden="1"/>
    <col min="7943" max="7944" width="7" style="133" hidden="1"/>
    <col min="7945" max="8189" width="9.1796875" style="133" hidden="1"/>
    <col min="8190" max="8191" width="18" style="133" hidden="1"/>
    <col min="8192" max="8192" width="0" style="133" hidden="1"/>
    <col min="8193" max="8193" width="17.1796875" style="133" hidden="1"/>
    <col min="8194" max="8194" width="9.81640625" style="133" hidden="1"/>
    <col min="8195" max="8195" width="0" style="133" hidden="1"/>
    <col min="8196" max="8196" width="8.453125" style="133" hidden="1"/>
    <col min="8197" max="8197" width="9.1796875" style="133" hidden="1"/>
    <col min="8198" max="8198" width="7.81640625" style="133" hidden="1"/>
    <col min="8199" max="8200" width="7" style="133" hidden="1"/>
    <col min="8201" max="8445" width="9.1796875" style="133" hidden="1"/>
    <col min="8446" max="8447" width="18" style="133" hidden="1"/>
    <col min="8448" max="8448" width="0" style="133" hidden="1"/>
    <col min="8449" max="8449" width="17.1796875" style="133" hidden="1"/>
    <col min="8450" max="8450" width="9.81640625" style="133" hidden="1"/>
    <col min="8451" max="8451" width="0" style="133" hidden="1"/>
    <col min="8452" max="8452" width="8.453125" style="133" hidden="1"/>
    <col min="8453" max="8453" width="9.1796875" style="133" hidden="1"/>
    <col min="8454" max="8454" width="7.81640625" style="133" hidden="1"/>
    <col min="8455" max="8456" width="7" style="133" hidden="1"/>
    <col min="8457" max="8701" width="9.1796875" style="133" hidden="1"/>
    <col min="8702" max="8703" width="18" style="133" hidden="1"/>
    <col min="8704" max="8704" width="0" style="133" hidden="1"/>
    <col min="8705" max="8705" width="17.1796875" style="133" hidden="1"/>
    <col min="8706" max="8706" width="9.81640625" style="133" hidden="1"/>
    <col min="8707" max="8707" width="0" style="133" hidden="1"/>
    <col min="8708" max="8708" width="8.453125" style="133" hidden="1"/>
    <col min="8709" max="8709" width="9.1796875" style="133" hidden="1"/>
    <col min="8710" max="8710" width="7.81640625" style="133" hidden="1"/>
    <col min="8711" max="8712" width="7" style="133" hidden="1"/>
    <col min="8713" max="8957" width="9.1796875" style="133" hidden="1"/>
    <col min="8958" max="8959" width="18" style="133" hidden="1"/>
    <col min="8960" max="8960" width="0" style="133" hidden="1"/>
    <col min="8961" max="8961" width="17.1796875" style="133" hidden="1"/>
    <col min="8962" max="8962" width="9.81640625" style="133" hidden="1"/>
    <col min="8963" max="8963" width="0" style="133" hidden="1"/>
    <col min="8964" max="8964" width="8.453125" style="133" hidden="1"/>
    <col min="8965" max="8965" width="9.1796875" style="133" hidden="1"/>
    <col min="8966" max="8966" width="7.81640625" style="133" hidden="1"/>
    <col min="8967" max="8968" width="7" style="133" hidden="1"/>
    <col min="8969" max="9213" width="9.1796875" style="133" hidden="1"/>
    <col min="9214" max="9215" width="18" style="133" hidden="1"/>
    <col min="9216" max="9216" width="0" style="133" hidden="1"/>
    <col min="9217" max="9217" width="17.1796875" style="133" hidden="1"/>
    <col min="9218" max="9218" width="9.81640625" style="133" hidden="1"/>
    <col min="9219" max="9219" width="0" style="133" hidden="1"/>
    <col min="9220" max="9220" width="8.453125" style="133" hidden="1"/>
    <col min="9221" max="9221" width="9.1796875" style="133" hidden="1"/>
    <col min="9222" max="9222" width="7.81640625" style="133" hidden="1"/>
    <col min="9223" max="9224" width="7" style="133" hidden="1"/>
    <col min="9225" max="9469" width="9.1796875" style="133" hidden="1"/>
    <col min="9470" max="9471" width="18" style="133" hidden="1"/>
    <col min="9472" max="9472" width="0" style="133" hidden="1"/>
    <col min="9473" max="9473" width="17.1796875" style="133" hidden="1"/>
    <col min="9474" max="9474" width="9.81640625" style="133" hidden="1"/>
    <col min="9475" max="9475" width="0" style="133" hidden="1"/>
    <col min="9476" max="9476" width="8.453125" style="133" hidden="1"/>
    <col min="9477" max="9477" width="9.1796875" style="133" hidden="1"/>
    <col min="9478" max="9478" width="7.81640625" style="133" hidden="1"/>
    <col min="9479" max="9480" width="7" style="133" hidden="1"/>
    <col min="9481" max="9725" width="9.1796875" style="133" hidden="1"/>
    <col min="9726" max="9727" width="18" style="133" hidden="1"/>
    <col min="9728" max="9728" width="0" style="133" hidden="1"/>
    <col min="9729" max="9729" width="17.1796875" style="133" hidden="1"/>
    <col min="9730" max="9730" width="9.81640625" style="133" hidden="1"/>
    <col min="9731" max="9731" width="0" style="133" hidden="1"/>
    <col min="9732" max="9732" width="8.453125" style="133" hidden="1"/>
    <col min="9733" max="9733" width="9.1796875" style="133" hidden="1"/>
    <col min="9734" max="9734" width="7.81640625" style="133" hidden="1"/>
    <col min="9735" max="9736" width="7" style="133" hidden="1"/>
    <col min="9737" max="9981" width="9.1796875" style="133" hidden="1"/>
    <col min="9982" max="9983" width="18" style="133" hidden="1"/>
    <col min="9984" max="9984" width="0" style="133" hidden="1"/>
    <col min="9985" max="9985" width="17.1796875" style="133" hidden="1"/>
    <col min="9986" max="9986" width="9.81640625" style="133" hidden="1"/>
    <col min="9987" max="9987" width="0" style="133" hidden="1"/>
    <col min="9988" max="9988" width="8.453125" style="133" hidden="1"/>
    <col min="9989" max="9989" width="9.1796875" style="133" hidden="1"/>
    <col min="9990" max="9990" width="7.81640625" style="133" hidden="1"/>
    <col min="9991" max="9992" width="7" style="133" hidden="1"/>
    <col min="9993" max="10237" width="9.1796875" style="133" hidden="1"/>
    <col min="10238" max="10239" width="18" style="133" hidden="1"/>
    <col min="10240" max="10240" width="0" style="133" hidden="1"/>
    <col min="10241" max="10241" width="17.1796875" style="133" hidden="1"/>
    <col min="10242" max="10242" width="9.81640625" style="133" hidden="1"/>
    <col min="10243" max="10243" width="0" style="133" hidden="1"/>
    <col min="10244" max="10244" width="8.453125" style="133" hidden="1"/>
    <col min="10245" max="10245" width="9.1796875" style="133" hidden="1"/>
    <col min="10246" max="10246" width="7.81640625" style="133" hidden="1"/>
    <col min="10247" max="10248" width="7" style="133" hidden="1"/>
    <col min="10249" max="10493" width="9.1796875" style="133" hidden="1"/>
    <col min="10494" max="10495" width="18" style="133" hidden="1"/>
    <col min="10496" max="10496" width="0" style="133" hidden="1"/>
    <col min="10497" max="10497" width="17.1796875" style="133" hidden="1"/>
    <col min="10498" max="10498" width="9.81640625" style="133" hidden="1"/>
    <col min="10499" max="10499" width="0" style="133" hidden="1"/>
    <col min="10500" max="10500" width="8.453125" style="133" hidden="1"/>
    <col min="10501" max="10501" width="9.1796875" style="133" hidden="1"/>
    <col min="10502" max="10502" width="7.81640625" style="133" hidden="1"/>
    <col min="10503" max="10504" width="7" style="133" hidden="1"/>
    <col min="10505" max="10749" width="9.1796875" style="133" hidden="1"/>
    <col min="10750" max="10751" width="18" style="133" hidden="1"/>
    <col min="10752" max="10752" width="0" style="133" hidden="1"/>
    <col min="10753" max="10753" width="17.1796875" style="133" hidden="1"/>
    <col min="10754" max="10754" width="9.81640625" style="133" hidden="1"/>
    <col min="10755" max="10755" width="0" style="133" hidden="1"/>
    <col min="10756" max="10756" width="8.453125" style="133" hidden="1"/>
    <col min="10757" max="10757" width="9.1796875" style="133" hidden="1"/>
    <col min="10758" max="10758" width="7.81640625" style="133" hidden="1"/>
    <col min="10759" max="10760" width="7" style="133" hidden="1"/>
    <col min="10761" max="11005" width="9.1796875" style="133" hidden="1"/>
    <col min="11006" max="11007" width="18" style="133" hidden="1"/>
    <col min="11008" max="11008" width="0" style="133" hidden="1"/>
    <col min="11009" max="11009" width="17.1796875" style="133" hidden="1"/>
    <col min="11010" max="11010" width="9.81640625" style="133" hidden="1"/>
    <col min="11011" max="11011" width="0" style="133" hidden="1"/>
    <col min="11012" max="11012" width="8.453125" style="133" hidden="1"/>
    <col min="11013" max="11013" width="9.1796875" style="133" hidden="1"/>
    <col min="11014" max="11014" width="7.81640625" style="133" hidden="1"/>
    <col min="11015" max="11016" width="7" style="133" hidden="1"/>
    <col min="11017" max="11261" width="9.1796875" style="133" hidden="1"/>
    <col min="11262" max="11263" width="18" style="133" hidden="1"/>
    <col min="11264" max="11264" width="0" style="133" hidden="1"/>
    <col min="11265" max="11265" width="17.1796875" style="133" hidden="1"/>
    <col min="11266" max="11266" width="9.81640625" style="133" hidden="1"/>
    <col min="11267" max="11267" width="0" style="133" hidden="1"/>
    <col min="11268" max="11268" width="8.453125" style="133" hidden="1"/>
    <col min="11269" max="11269" width="9.1796875" style="133" hidden="1"/>
    <col min="11270" max="11270" width="7.81640625" style="133" hidden="1"/>
    <col min="11271" max="11272" width="7" style="133" hidden="1"/>
    <col min="11273" max="11517" width="9.1796875" style="133" hidden="1"/>
    <col min="11518" max="11519" width="18" style="133" hidden="1"/>
    <col min="11520" max="11520" width="0" style="133" hidden="1"/>
    <col min="11521" max="11521" width="17.1796875" style="133" hidden="1"/>
    <col min="11522" max="11522" width="9.81640625" style="133" hidden="1"/>
    <col min="11523" max="11523" width="0" style="133" hidden="1"/>
    <col min="11524" max="11524" width="8.453125" style="133" hidden="1"/>
    <col min="11525" max="11525" width="9.1796875" style="133" hidden="1"/>
    <col min="11526" max="11526" width="7.81640625" style="133" hidden="1"/>
    <col min="11527" max="11528" width="7" style="133" hidden="1"/>
    <col min="11529" max="11773" width="9.1796875" style="133" hidden="1"/>
    <col min="11774" max="11775" width="18" style="133" hidden="1"/>
    <col min="11776" max="11776" width="0" style="133" hidden="1"/>
    <col min="11777" max="11777" width="17.1796875" style="133" hidden="1"/>
    <col min="11778" max="11778" width="9.81640625" style="133" hidden="1"/>
    <col min="11779" max="11779" width="0" style="133" hidden="1"/>
    <col min="11780" max="11780" width="8.453125" style="133" hidden="1"/>
    <col min="11781" max="11781" width="9.1796875" style="133" hidden="1"/>
    <col min="11782" max="11782" width="7.81640625" style="133" hidden="1"/>
    <col min="11783" max="11784" width="7" style="133" hidden="1"/>
    <col min="11785" max="12029" width="9.1796875" style="133" hidden="1"/>
    <col min="12030" max="12031" width="18" style="133" hidden="1"/>
    <col min="12032" max="12032" width="0" style="133" hidden="1"/>
    <col min="12033" max="12033" width="17.1796875" style="133" hidden="1"/>
    <col min="12034" max="12034" width="9.81640625" style="133" hidden="1"/>
    <col min="12035" max="12035" width="0" style="133" hidden="1"/>
    <col min="12036" max="12036" width="8.453125" style="133" hidden="1"/>
    <col min="12037" max="12037" width="9.1796875" style="133" hidden="1"/>
    <col min="12038" max="12038" width="7.81640625" style="133" hidden="1"/>
    <col min="12039" max="12040" width="7" style="133" hidden="1"/>
    <col min="12041" max="12285" width="9.1796875" style="133" hidden="1"/>
    <col min="12286" max="12287" width="18" style="133" hidden="1"/>
    <col min="12288" max="12288" width="0" style="133" hidden="1"/>
    <col min="12289" max="12289" width="17.1796875" style="133" hidden="1"/>
    <col min="12290" max="12290" width="9.81640625" style="133" hidden="1"/>
    <col min="12291" max="12291" width="0" style="133" hidden="1"/>
    <col min="12292" max="12292" width="8.453125" style="133" hidden="1"/>
    <col min="12293" max="12293" width="9.1796875" style="133" hidden="1"/>
    <col min="12294" max="12294" width="7.81640625" style="133" hidden="1"/>
    <col min="12295" max="12296" width="7" style="133" hidden="1"/>
    <col min="12297" max="12541" width="9.1796875" style="133" hidden="1"/>
    <col min="12542" max="12543" width="18" style="133" hidden="1"/>
    <col min="12544" max="12544" width="0" style="133" hidden="1"/>
    <col min="12545" max="12545" width="17.1796875" style="133" hidden="1"/>
    <col min="12546" max="12546" width="9.81640625" style="133" hidden="1"/>
    <col min="12547" max="12547" width="0" style="133" hidden="1"/>
    <col min="12548" max="12548" width="8.453125" style="133" hidden="1"/>
    <col min="12549" max="12549" width="9.1796875" style="133" hidden="1"/>
    <col min="12550" max="12550" width="7.81640625" style="133" hidden="1"/>
    <col min="12551" max="12552" width="7" style="133" hidden="1"/>
    <col min="12553" max="12797" width="9.1796875" style="133" hidden="1"/>
    <col min="12798" max="12799" width="18" style="133" hidden="1"/>
    <col min="12800" max="12800" width="0" style="133" hidden="1"/>
    <col min="12801" max="12801" width="17.1796875" style="133" hidden="1"/>
    <col min="12802" max="12802" width="9.81640625" style="133" hidden="1"/>
    <col min="12803" max="12803" width="0" style="133" hidden="1"/>
    <col min="12804" max="12804" width="8.453125" style="133" hidden="1"/>
    <col min="12805" max="12805" width="9.1796875" style="133" hidden="1"/>
    <col min="12806" max="12806" width="7.81640625" style="133" hidden="1"/>
    <col min="12807" max="12808" width="7" style="133" hidden="1"/>
    <col min="12809" max="13053" width="9.1796875" style="133" hidden="1"/>
    <col min="13054" max="13055" width="18" style="133" hidden="1"/>
    <col min="13056" max="13056" width="0" style="133" hidden="1"/>
    <col min="13057" max="13057" width="17.1796875" style="133" hidden="1"/>
    <col min="13058" max="13058" width="9.81640625" style="133" hidden="1"/>
    <col min="13059" max="13059" width="0" style="133" hidden="1"/>
    <col min="13060" max="13060" width="8.453125" style="133" hidden="1"/>
    <col min="13061" max="13061" width="9.1796875" style="133" hidden="1"/>
    <col min="13062" max="13062" width="7.81640625" style="133" hidden="1"/>
    <col min="13063" max="13064" width="7" style="133" hidden="1"/>
    <col min="13065" max="13309" width="9.1796875" style="133" hidden="1"/>
    <col min="13310" max="13311" width="18" style="133" hidden="1"/>
    <col min="13312" max="13312" width="0" style="133" hidden="1"/>
    <col min="13313" max="13313" width="17.1796875" style="133" hidden="1"/>
    <col min="13314" max="13314" width="9.81640625" style="133" hidden="1"/>
    <col min="13315" max="13315" width="0" style="133" hidden="1"/>
    <col min="13316" max="13316" width="8.453125" style="133" hidden="1"/>
    <col min="13317" max="13317" width="9.1796875" style="133" hidden="1"/>
    <col min="13318" max="13318" width="7.81640625" style="133" hidden="1"/>
    <col min="13319" max="13320" width="7" style="133" hidden="1"/>
    <col min="13321" max="13565" width="9.1796875" style="133" hidden="1"/>
    <col min="13566" max="13567" width="18" style="133" hidden="1"/>
    <col min="13568" max="13568" width="0" style="133" hidden="1"/>
    <col min="13569" max="13569" width="17.1796875" style="133" hidden="1"/>
    <col min="13570" max="13570" width="9.81640625" style="133" hidden="1"/>
    <col min="13571" max="13571" width="0" style="133" hidden="1"/>
    <col min="13572" max="13572" width="8.453125" style="133" hidden="1"/>
    <col min="13573" max="13573" width="9.1796875" style="133" hidden="1"/>
    <col min="13574" max="13574" width="7.81640625" style="133" hidden="1"/>
    <col min="13575" max="13576" width="7" style="133" hidden="1"/>
    <col min="13577" max="13821" width="9.1796875" style="133" hidden="1"/>
    <col min="13822" max="13823" width="18" style="133" hidden="1"/>
    <col min="13824" max="13824" width="0" style="133" hidden="1"/>
    <col min="13825" max="13825" width="17.1796875" style="133" hidden="1"/>
    <col min="13826" max="13826" width="9.81640625" style="133" hidden="1"/>
    <col min="13827" max="13827" width="0" style="133" hidden="1"/>
    <col min="13828" max="13828" width="8.453125" style="133" hidden="1"/>
    <col min="13829" max="13829" width="9.1796875" style="133" hidden="1"/>
    <col min="13830" max="13830" width="7.81640625" style="133" hidden="1"/>
    <col min="13831" max="13832" width="7" style="133" hidden="1"/>
    <col min="13833" max="14077" width="9.1796875" style="133" hidden="1"/>
    <col min="14078" max="14079" width="18" style="133" hidden="1"/>
    <col min="14080" max="14080" width="0" style="133" hidden="1"/>
    <col min="14081" max="14081" width="17.1796875" style="133" hidden="1"/>
    <col min="14082" max="14082" width="9.81640625" style="133" hidden="1"/>
    <col min="14083" max="14083" width="0" style="133" hidden="1"/>
    <col min="14084" max="14084" width="8.453125" style="133" hidden="1"/>
    <col min="14085" max="14085" width="9.1796875" style="133" hidden="1"/>
    <col min="14086" max="14086" width="7.81640625" style="133" hidden="1"/>
    <col min="14087" max="14088" width="7" style="133" hidden="1"/>
    <col min="14089" max="14333" width="9.1796875" style="133" hidden="1"/>
    <col min="14334" max="14335" width="18" style="133" hidden="1"/>
    <col min="14336" max="14336" width="0" style="133" hidden="1"/>
    <col min="14337" max="14337" width="17.1796875" style="133" hidden="1"/>
    <col min="14338" max="14338" width="9.81640625" style="133" hidden="1"/>
    <col min="14339" max="14339" width="0" style="133" hidden="1"/>
    <col min="14340" max="14340" width="8.453125" style="133" hidden="1"/>
    <col min="14341" max="14341" width="9.1796875" style="133" hidden="1"/>
    <col min="14342" max="14342" width="7.81640625" style="133" hidden="1"/>
    <col min="14343" max="14344" width="7" style="133" hidden="1"/>
    <col min="14345" max="14589" width="9.1796875" style="133" hidden="1"/>
    <col min="14590" max="14591" width="18" style="133" hidden="1"/>
    <col min="14592" max="14592" width="0" style="133" hidden="1"/>
    <col min="14593" max="14593" width="17.1796875" style="133" hidden="1"/>
    <col min="14594" max="14594" width="9.81640625" style="133" hidden="1"/>
    <col min="14595" max="14595" width="0" style="133" hidden="1"/>
    <col min="14596" max="14596" width="8.453125" style="133" hidden="1"/>
    <col min="14597" max="14597" width="9.1796875" style="133" hidden="1"/>
    <col min="14598" max="14598" width="7.81640625" style="133" hidden="1"/>
    <col min="14599" max="14600" width="7" style="133" hidden="1"/>
    <col min="14601" max="14845" width="9.1796875" style="133" hidden="1"/>
    <col min="14846" max="14847" width="18" style="133" hidden="1"/>
    <col min="14848" max="14848" width="0" style="133" hidden="1"/>
    <col min="14849" max="14849" width="17.1796875" style="133" hidden="1"/>
    <col min="14850" max="14850" width="9.81640625" style="133" hidden="1"/>
    <col min="14851" max="14851" width="0" style="133" hidden="1"/>
    <col min="14852" max="14852" width="8.453125" style="133" hidden="1"/>
    <col min="14853" max="14853" width="9.1796875" style="133" hidden="1"/>
    <col min="14854" max="14854" width="7.81640625" style="133" hidden="1"/>
    <col min="14855" max="14856" width="7" style="133" hidden="1"/>
    <col min="14857" max="15101" width="9.1796875" style="133" hidden="1"/>
    <col min="15102" max="15103" width="18" style="133" hidden="1"/>
    <col min="15104" max="15104" width="0" style="133" hidden="1"/>
    <col min="15105" max="15105" width="17.1796875" style="133" hidden="1"/>
    <col min="15106" max="15106" width="9.81640625" style="133" hidden="1"/>
    <col min="15107" max="15107" width="0" style="133" hidden="1"/>
    <col min="15108" max="15108" width="8.453125" style="133" hidden="1"/>
    <col min="15109" max="15109" width="9.1796875" style="133" hidden="1"/>
    <col min="15110" max="15110" width="7.81640625" style="133" hidden="1"/>
    <col min="15111" max="15112" width="7" style="133" hidden="1"/>
    <col min="15113" max="15357" width="9.1796875" style="133" hidden="1"/>
    <col min="15358" max="15359" width="18" style="133" hidden="1"/>
    <col min="15360" max="15360" width="0" style="133" hidden="1"/>
    <col min="15361" max="15361" width="17.1796875" style="133" hidden="1"/>
    <col min="15362" max="15362" width="9.81640625" style="133" hidden="1"/>
    <col min="15363" max="15363" width="0" style="133" hidden="1"/>
    <col min="15364" max="15364" width="8.453125" style="133" hidden="1"/>
    <col min="15365" max="15365" width="9.1796875" style="133" hidden="1"/>
    <col min="15366" max="15366" width="7.81640625" style="133" hidden="1"/>
    <col min="15367" max="15368" width="7" style="133" hidden="1"/>
    <col min="15369" max="15613" width="9.1796875" style="133" hidden="1"/>
    <col min="15614" max="15615" width="18" style="133" hidden="1"/>
    <col min="15616" max="15616" width="0" style="133" hidden="1"/>
    <col min="15617" max="15617" width="17.1796875" style="133" hidden="1"/>
    <col min="15618" max="15618" width="9.81640625" style="133" hidden="1"/>
    <col min="15619" max="15619" width="0" style="133" hidden="1"/>
    <col min="15620" max="15620" width="8.453125" style="133" hidden="1"/>
    <col min="15621" max="15621" width="9.1796875" style="133" hidden="1"/>
    <col min="15622" max="15622" width="7.81640625" style="133" hidden="1"/>
    <col min="15623" max="15624" width="7" style="133" hidden="1"/>
    <col min="15625" max="15869" width="9.1796875" style="133" hidden="1"/>
    <col min="15870" max="15871" width="18" style="133" hidden="1"/>
    <col min="15872" max="15872" width="0" style="133" hidden="1"/>
    <col min="15873" max="15873" width="17.1796875" style="133" hidden="1"/>
    <col min="15874" max="15874" width="9.81640625" style="133" hidden="1"/>
    <col min="15875" max="15875" width="0" style="133" hidden="1"/>
    <col min="15876" max="15876" width="8.453125" style="133" hidden="1"/>
    <col min="15877" max="15877" width="9.1796875" style="133" hidden="1"/>
    <col min="15878" max="15878" width="7.81640625" style="133" hidden="1"/>
    <col min="15879" max="15880" width="7" style="133" hidden="1"/>
    <col min="15881" max="16125" width="9.1796875" style="133" hidden="1"/>
    <col min="16126" max="16127" width="18" style="133" hidden="1"/>
    <col min="16128" max="16128" width="0" style="133" hidden="1"/>
    <col min="16129" max="16129" width="17.1796875" style="133" hidden="1"/>
    <col min="16130" max="16130" width="9.81640625" style="133" hidden="1"/>
    <col min="16131" max="16131" width="0" style="133" hidden="1"/>
    <col min="16132" max="16132" width="8.453125" style="133" hidden="1"/>
    <col min="16133" max="16133" width="9.1796875" style="133" hidden="1"/>
    <col min="16134" max="16134" width="7.81640625" style="133" hidden="1"/>
    <col min="16135" max="16136" width="7" style="133" hidden="1"/>
    <col min="16137" max="16384" width="9.1796875" style="133" hidden="1"/>
  </cols>
  <sheetData>
    <row r="1" spans="1:16" ht="47.25" customHeight="1" thickBot="1" x14ac:dyDescent="0.55000000000000004">
      <c r="A1" s="471"/>
      <c r="B1" s="472"/>
      <c r="G1" s="473" t="s">
        <v>258</v>
      </c>
      <c r="H1" s="473"/>
      <c r="J1" s="209"/>
    </row>
    <row r="2" spans="1:16" ht="16.5" customHeight="1" thickTop="1" thickBot="1" x14ac:dyDescent="0.3">
      <c r="A2" s="474" t="s">
        <v>255</v>
      </c>
      <c r="B2" s="475"/>
      <c r="C2" s="475"/>
      <c r="D2" s="475"/>
      <c r="E2" s="475"/>
      <c r="F2" s="475"/>
      <c r="G2" s="475"/>
      <c r="H2" s="476"/>
      <c r="I2" s="468" t="s">
        <v>191</v>
      </c>
      <c r="J2" s="469"/>
      <c r="K2" s="469"/>
      <c r="L2" s="469"/>
      <c r="M2" s="470"/>
    </row>
    <row r="3" spans="1:16" ht="18" customHeight="1" thickTop="1" x14ac:dyDescent="0.25">
      <c r="A3" s="233" t="s">
        <v>231</v>
      </c>
      <c r="B3" s="253">
        <v>102477</v>
      </c>
      <c r="C3" s="234"/>
      <c r="D3" s="235" t="s">
        <v>232</v>
      </c>
      <c r="E3" s="252" t="s">
        <v>83</v>
      </c>
      <c r="F3" s="234"/>
      <c r="G3" s="235" t="s">
        <v>238</v>
      </c>
      <c r="H3" s="185" t="s">
        <v>470</v>
      </c>
      <c r="I3" s="195"/>
      <c r="J3" s="198" t="s">
        <v>319</v>
      </c>
      <c r="K3" s="196"/>
      <c r="L3" s="196"/>
      <c r="M3" s="197"/>
    </row>
    <row r="4" spans="1:16" ht="18" customHeight="1" x14ac:dyDescent="0.35">
      <c r="A4" s="236" t="s">
        <v>234</v>
      </c>
      <c r="B4" s="282">
        <v>101576</v>
      </c>
      <c r="C4" s="234"/>
      <c r="D4" s="237" t="s">
        <v>233</v>
      </c>
      <c r="E4" s="290">
        <v>45267</v>
      </c>
      <c r="F4" s="234"/>
      <c r="G4" s="237" t="s">
        <v>250</v>
      </c>
      <c r="H4" s="259" t="s">
        <v>471</v>
      </c>
      <c r="I4" s="199"/>
      <c r="J4" s="202" t="s">
        <v>277</v>
      </c>
      <c r="K4" s="200"/>
      <c r="L4" s="200"/>
      <c r="M4" s="201"/>
    </row>
    <row r="5" spans="1:16" ht="18" customHeight="1" x14ac:dyDescent="0.25">
      <c r="A5" s="238" t="s">
        <v>199</v>
      </c>
      <c r="B5" s="281" t="s">
        <v>480</v>
      </c>
      <c r="C5" s="234"/>
      <c r="D5" s="237" t="s">
        <v>236</v>
      </c>
      <c r="E5" s="281" t="s">
        <v>490</v>
      </c>
      <c r="F5" s="234"/>
      <c r="G5" s="237" t="s">
        <v>251</v>
      </c>
      <c r="H5" s="259" t="s">
        <v>492</v>
      </c>
      <c r="I5" s="203"/>
      <c r="J5" s="202" t="s">
        <v>320</v>
      </c>
      <c r="K5" s="204"/>
      <c r="L5" s="204"/>
      <c r="M5" s="205"/>
    </row>
    <row r="6" spans="1:16" ht="18" customHeight="1" x14ac:dyDescent="0.25">
      <c r="A6" s="236" t="s">
        <v>241</v>
      </c>
      <c r="B6" s="281" t="s">
        <v>481</v>
      </c>
      <c r="C6" s="234"/>
      <c r="D6" s="237" t="s">
        <v>237</v>
      </c>
      <c r="E6" s="253">
        <v>1521</v>
      </c>
      <c r="F6" s="234"/>
      <c r="G6" s="237" t="s">
        <v>252</v>
      </c>
      <c r="H6" s="258"/>
      <c r="I6" s="203"/>
      <c r="J6" s="202" t="s">
        <v>265</v>
      </c>
      <c r="K6" s="204"/>
      <c r="L6" s="204"/>
      <c r="M6" s="205"/>
    </row>
    <row r="7" spans="1:16" ht="18" customHeight="1" x14ac:dyDescent="0.25">
      <c r="A7" s="421" t="s">
        <v>235</v>
      </c>
      <c r="B7" s="422" t="s">
        <v>489</v>
      </c>
      <c r="C7" s="234"/>
      <c r="D7" s="237" t="s">
        <v>318</v>
      </c>
      <c r="E7" s="253">
        <v>8</v>
      </c>
      <c r="F7" s="234"/>
      <c r="G7" s="237" t="s">
        <v>240</v>
      </c>
      <c r="H7" s="259" t="s">
        <v>491</v>
      </c>
      <c r="I7" s="203"/>
      <c r="J7" s="202"/>
      <c r="K7" s="204"/>
      <c r="L7" s="204"/>
      <c r="M7" s="205"/>
    </row>
    <row r="8" spans="1:16" ht="18" customHeight="1" x14ac:dyDescent="0.25">
      <c r="A8" s="241"/>
      <c r="B8" s="242"/>
      <c r="C8" s="234"/>
      <c r="D8" s="239"/>
      <c r="E8" s="240"/>
      <c r="F8" s="234"/>
      <c r="G8" s="239"/>
      <c r="H8" s="243"/>
      <c r="I8" s="203"/>
      <c r="J8" s="202" t="s">
        <v>266</v>
      </c>
      <c r="K8" s="204"/>
      <c r="L8" s="204"/>
      <c r="M8" s="205"/>
    </row>
    <row r="9" spans="1:16" ht="18" customHeight="1" x14ac:dyDescent="0.25">
      <c r="A9" s="236" t="s">
        <v>386</v>
      </c>
      <c r="B9" s="325" t="s">
        <v>394</v>
      </c>
      <c r="C9" s="234"/>
      <c r="D9" s="237" t="s">
        <v>256</v>
      </c>
      <c r="E9" s="253" t="s">
        <v>55</v>
      </c>
      <c r="F9" s="234"/>
      <c r="G9" s="237" t="s">
        <v>249</v>
      </c>
      <c r="H9" s="186" t="s">
        <v>114</v>
      </c>
      <c r="I9" s="208"/>
      <c r="J9" s="202" t="s">
        <v>267</v>
      </c>
      <c r="K9" s="206"/>
      <c r="L9" s="206"/>
      <c r="M9" s="207"/>
      <c r="O9" s="249"/>
      <c r="P9" s="250"/>
    </row>
    <row r="10" spans="1:16" ht="18" customHeight="1" x14ac:dyDescent="0.25">
      <c r="A10" s="236" t="s">
        <v>393</v>
      </c>
      <c r="B10" s="253" t="s">
        <v>114</v>
      </c>
      <c r="C10" s="234"/>
      <c r="D10" s="237" t="s">
        <v>253</v>
      </c>
      <c r="E10" s="254" t="s">
        <v>307</v>
      </c>
      <c r="F10" s="234"/>
      <c r="G10" s="237" t="s">
        <v>239</v>
      </c>
      <c r="H10" s="186" t="s">
        <v>31</v>
      </c>
      <c r="I10" s="210"/>
      <c r="J10" s="202" t="s">
        <v>268</v>
      </c>
      <c r="K10" s="200"/>
      <c r="L10" s="200"/>
      <c r="M10" s="205"/>
      <c r="O10" s="249"/>
      <c r="P10" s="251"/>
    </row>
    <row r="11" spans="1:16" ht="18" customHeight="1" x14ac:dyDescent="0.25">
      <c r="A11" s="236" t="s">
        <v>439</v>
      </c>
      <c r="B11" s="346">
        <v>2.3846153846153846</v>
      </c>
      <c r="C11" s="234"/>
      <c r="D11" s="237" t="s">
        <v>254</v>
      </c>
      <c r="E11" s="254" t="s">
        <v>74</v>
      </c>
      <c r="F11" s="234"/>
      <c r="G11" s="237" t="s">
        <v>264</v>
      </c>
      <c r="H11" s="186" t="s">
        <v>114</v>
      </c>
      <c r="I11" s="211"/>
      <c r="J11" s="202" t="s">
        <v>269</v>
      </c>
      <c r="K11" s="206"/>
      <c r="L11" s="206"/>
      <c r="M11" s="207"/>
      <c r="O11" s="249"/>
      <c r="P11" s="250"/>
    </row>
    <row r="12" spans="1:16" ht="18" customHeight="1" x14ac:dyDescent="0.25">
      <c r="A12" s="236" t="s">
        <v>442</v>
      </c>
      <c r="B12" s="410"/>
      <c r="C12" s="234"/>
      <c r="D12" s="237" t="s">
        <v>257</v>
      </c>
      <c r="E12" s="255" t="s">
        <v>310</v>
      </c>
      <c r="F12" s="234"/>
      <c r="G12" s="237" t="s">
        <v>440</v>
      </c>
      <c r="H12" s="186" t="s">
        <v>325</v>
      </c>
      <c r="I12" s="199"/>
      <c r="J12" s="202" t="s">
        <v>270</v>
      </c>
      <c r="K12" s="204"/>
      <c r="L12" s="206"/>
      <c r="M12" s="207"/>
      <c r="O12" s="249"/>
      <c r="P12" s="250"/>
    </row>
    <row r="13" spans="1:16" ht="18" customHeight="1" x14ac:dyDescent="0.25">
      <c r="A13" s="241"/>
      <c r="B13" s="234"/>
      <c r="C13" s="234"/>
      <c r="D13" s="342"/>
      <c r="E13" s="343"/>
      <c r="F13" s="234"/>
      <c r="G13" s="342"/>
      <c r="H13" s="344"/>
      <c r="I13" s="199"/>
      <c r="J13" s="202" t="s">
        <v>248</v>
      </c>
      <c r="K13" s="206"/>
      <c r="L13" s="206"/>
      <c r="M13" s="207"/>
      <c r="O13" s="249"/>
      <c r="P13" s="250"/>
    </row>
    <row r="14" spans="1:16" ht="18" customHeight="1" x14ac:dyDescent="0.25">
      <c r="A14" s="241"/>
      <c r="B14" s="234"/>
      <c r="C14" s="234"/>
      <c r="D14" s="237" t="s">
        <v>443</v>
      </c>
      <c r="E14" s="325"/>
      <c r="F14" s="234"/>
      <c r="G14" s="342"/>
      <c r="H14" s="344"/>
      <c r="I14" s="199"/>
      <c r="J14" s="202"/>
      <c r="K14" s="206"/>
      <c r="L14" s="206"/>
      <c r="M14" s="207"/>
      <c r="O14" s="249"/>
      <c r="P14" s="250"/>
    </row>
    <row r="15" spans="1:16" ht="18" customHeight="1" thickBot="1" x14ac:dyDescent="0.3">
      <c r="A15" s="244"/>
      <c r="B15" s="245"/>
      <c r="C15" s="234"/>
      <c r="D15" s="342"/>
      <c r="E15" s="343"/>
      <c r="F15" s="234"/>
      <c r="G15" s="342"/>
      <c r="H15" s="276" t="str">
        <f>Quote!J2</f>
        <v>v4.01</v>
      </c>
      <c r="I15" s="199"/>
      <c r="J15" s="202" t="s">
        <v>271</v>
      </c>
      <c r="K15" s="204"/>
      <c r="L15" s="204"/>
      <c r="M15" s="205"/>
      <c r="O15" s="249"/>
      <c r="P15" s="250"/>
    </row>
    <row r="16" spans="1:16" ht="18" customHeight="1" thickTop="1" thickBot="1" x14ac:dyDescent="0.4">
      <c r="A16" s="477" t="s">
        <v>246</v>
      </c>
      <c r="B16" s="478"/>
      <c r="C16" s="246"/>
      <c r="D16" s="468" t="s">
        <v>247</v>
      </c>
      <c r="E16" s="470"/>
      <c r="F16" s="246"/>
      <c r="G16" s="468" t="s">
        <v>322</v>
      </c>
      <c r="H16" s="470"/>
      <c r="I16" s="203"/>
      <c r="J16" s="202" t="s">
        <v>242</v>
      </c>
      <c r="K16" s="204"/>
      <c r="L16" s="204"/>
      <c r="M16" s="205"/>
    </row>
    <row r="17" spans="1:13" s="251" customFormat="1" ht="18" customHeight="1" thickTop="1" x14ac:dyDescent="0.35">
      <c r="A17" s="479"/>
      <c r="B17" s="480"/>
      <c r="C17" s="247"/>
      <c r="D17" s="479"/>
      <c r="E17" s="480"/>
      <c r="F17" s="247"/>
      <c r="G17" s="479"/>
      <c r="H17" s="480"/>
      <c r="I17" s="203"/>
      <c r="J17" s="202" t="s">
        <v>243</v>
      </c>
      <c r="K17" s="204"/>
      <c r="L17" s="204"/>
      <c r="M17" s="205"/>
    </row>
    <row r="18" spans="1:13" s="251" customFormat="1" ht="18" customHeight="1" x14ac:dyDescent="0.35">
      <c r="A18" s="481"/>
      <c r="B18" s="482"/>
      <c r="C18" s="247"/>
      <c r="D18" s="481"/>
      <c r="E18" s="482"/>
      <c r="F18" s="247"/>
      <c r="G18" s="481"/>
      <c r="H18" s="482"/>
      <c r="I18" s="203"/>
      <c r="J18" s="202" t="s">
        <v>22</v>
      </c>
      <c r="K18" s="204"/>
      <c r="L18" s="204"/>
      <c r="M18" s="205"/>
    </row>
    <row r="19" spans="1:13" s="251" customFormat="1" ht="18" customHeight="1" x14ac:dyDescent="0.35">
      <c r="A19" s="481"/>
      <c r="B19" s="482"/>
      <c r="C19" s="247"/>
      <c r="D19" s="481"/>
      <c r="E19" s="482"/>
      <c r="F19" s="247"/>
      <c r="G19" s="481"/>
      <c r="H19" s="482"/>
      <c r="I19" s="203"/>
      <c r="J19" s="202" t="s">
        <v>23</v>
      </c>
      <c r="K19" s="204"/>
      <c r="L19" s="204"/>
      <c r="M19" s="205"/>
    </row>
    <row r="20" spans="1:13" ht="18" customHeight="1" x14ac:dyDescent="0.25">
      <c r="A20" s="481"/>
      <c r="B20" s="482"/>
      <c r="C20" s="247"/>
      <c r="D20" s="481"/>
      <c r="E20" s="482"/>
      <c r="F20" s="247"/>
      <c r="G20" s="481"/>
      <c r="H20" s="482"/>
      <c r="I20" s="203"/>
      <c r="J20" s="202" t="s">
        <v>272</v>
      </c>
      <c r="K20" s="206"/>
      <c r="L20" s="206"/>
      <c r="M20" s="207"/>
    </row>
    <row r="21" spans="1:13" ht="18" customHeight="1" x14ac:dyDescent="0.25">
      <c r="A21" s="481"/>
      <c r="B21" s="482"/>
      <c r="C21" s="247"/>
      <c r="D21" s="481"/>
      <c r="E21" s="482"/>
      <c r="F21" s="247"/>
      <c r="G21" s="481"/>
      <c r="H21" s="482"/>
      <c r="I21" s="203"/>
      <c r="J21" s="202" t="s">
        <v>273</v>
      </c>
      <c r="K21" s="204"/>
      <c r="L21" s="204"/>
      <c r="M21" s="205"/>
    </row>
    <row r="22" spans="1:13" ht="18" customHeight="1" x14ac:dyDescent="0.25">
      <c r="A22" s="481"/>
      <c r="B22" s="482"/>
      <c r="C22" s="246"/>
      <c r="D22" s="481"/>
      <c r="E22" s="482"/>
      <c r="F22" s="246"/>
      <c r="G22" s="481"/>
      <c r="H22" s="482"/>
      <c r="I22" s="212"/>
      <c r="J22" s="202" t="s">
        <v>274</v>
      </c>
      <c r="K22" s="206"/>
      <c r="L22" s="206"/>
      <c r="M22" s="207"/>
    </row>
    <row r="23" spans="1:13" ht="18" customHeight="1" x14ac:dyDescent="0.25">
      <c r="A23" s="481"/>
      <c r="B23" s="482"/>
      <c r="C23" s="248"/>
      <c r="D23" s="481"/>
      <c r="E23" s="482"/>
      <c r="F23" s="248"/>
      <c r="G23" s="481"/>
      <c r="H23" s="482"/>
      <c r="I23" s="212"/>
      <c r="J23" s="202" t="s">
        <v>244</v>
      </c>
      <c r="K23" s="206"/>
      <c r="L23" s="206"/>
      <c r="M23" s="205"/>
    </row>
    <row r="24" spans="1:13" ht="18" customHeight="1" x14ac:dyDescent="0.25">
      <c r="A24" s="481"/>
      <c r="B24" s="482"/>
      <c r="C24" s="248"/>
      <c r="D24" s="481"/>
      <c r="E24" s="482"/>
      <c r="F24" s="248"/>
      <c r="G24" s="481"/>
      <c r="H24" s="482"/>
      <c r="I24" s="212"/>
      <c r="J24" s="202" t="s">
        <v>245</v>
      </c>
      <c r="K24" s="204"/>
      <c r="L24" s="204"/>
      <c r="M24" s="205"/>
    </row>
    <row r="25" spans="1:13" ht="18" customHeight="1" x14ac:dyDescent="0.25">
      <c r="A25" s="481"/>
      <c r="B25" s="482"/>
      <c r="C25" s="248"/>
      <c r="D25" s="481"/>
      <c r="E25" s="482"/>
      <c r="F25" s="248"/>
      <c r="G25" s="481"/>
      <c r="H25" s="482"/>
      <c r="I25" s="212"/>
      <c r="J25" s="202" t="s">
        <v>275</v>
      </c>
      <c r="K25" s="204"/>
      <c r="L25" s="204"/>
      <c r="M25" s="205"/>
    </row>
    <row r="26" spans="1:13" ht="18" customHeight="1" x14ac:dyDescent="0.25">
      <c r="A26" s="481"/>
      <c r="B26" s="482"/>
      <c r="C26" s="248"/>
      <c r="D26" s="481"/>
      <c r="E26" s="482"/>
      <c r="F26" s="248"/>
      <c r="G26" s="481"/>
      <c r="H26" s="482"/>
      <c r="I26" s="212"/>
      <c r="J26" s="202" t="s">
        <v>276</v>
      </c>
      <c r="K26" s="204"/>
      <c r="L26" s="204"/>
      <c r="M26" s="213"/>
    </row>
    <row r="27" spans="1:13" ht="18" customHeight="1" x14ac:dyDescent="0.25">
      <c r="A27" s="481"/>
      <c r="B27" s="482"/>
      <c r="C27" s="248"/>
      <c r="D27" s="481"/>
      <c r="E27" s="482"/>
      <c r="F27" s="248"/>
      <c r="G27" s="481"/>
      <c r="H27" s="482"/>
      <c r="I27" s="212"/>
      <c r="J27" s="202" t="s">
        <v>140</v>
      </c>
      <c r="K27" s="204"/>
      <c r="L27" s="204"/>
      <c r="M27" s="205"/>
    </row>
    <row r="28" spans="1:13" ht="18" customHeight="1" x14ac:dyDescent="0.25">
      <c r="A28" s="481"/>
      <c r="B28" s="482"/>
      <c r="C28" s="248"/>
      <c r="D28" s="481"/>
      <c r="E28" s="482"/>
      <c r="F28" s="248"/>
      <c r="G28" s="481"/>
      <c r="H28" s="482"/>
      <c r="I28" s="212"/>
      <c r="J28" s="202" t="s">
        <v>278</v>
      </c>
      <c r="K28" s="204"/>
      <c r="L28" s="204"/>
      <c r="M28" s="205"/>
    </row>
    <row r="29" spans="1:13" ht="18" customHeight="1" x14ac:dyDescent="0.25">
      <c r="A29" s="481"/>
      <c r="B29" s="482"/>
      <c r="C29" s="248"/>
      <c r="D29" s="481"/>
      <c r="E29" s="482"/>
      <c r="F29" s="248"/>
      <c r="G29" s="481"/>
      <c r="H29" s="482"/>
      <c r="I29" s="212"/>
      <c r="J29" s="202" t="s">
        <v>278</v>
      </c>
      <c r="K29" s="204"/>
      <c r="L29" s="204"/>
      <c r="M29" s="205"/>
    </row>
    <row r="30" spans="1:13" ht="18" customHeight="1" x14ac:dyDescent="0.25">
      <c r="A30" s="481"/>
      <c r="B30" s="482"/>
      <c r="C30" s="248"/>
      <c r="D30" s="481"/>
      <c r="E30" s="482"/>
      <c r="F30" s="248"/>
      <c r="G30" s="481"/>
      <c r="H30" s="482"/>
      <c r="I30" s="212"/>
      <c r="J30" s="202" t="s">
        <v>278</v>
      </c>
      <c r="K30" s="204"/>
      <c r="L30" s="214"/>
      <c r="M30" s="215"/>
    </row>
    <row r="31" spans="1:13" ht="18" customHeight="1" x14ac:dyDescent="0.25">
      <c r="A31" s="481"/>
      <c r="B31" s="482"/>
      <c r="C31" s="248"/>
      <c r="D31" s="481"/>
      <c r="E31" s="482"/>
      <c r="F31" s="248"/>
      <c r="G31" s="481"/>
      <c r="H31" s="482"/>
      <c r="I31" s="212"/>
      <c r="J31" s="202" t="s">
        <v>278</v>
      </c>
      <c r="K31" s="204"/>
      <c r="L31" s="204"/>
      <c r="M31" s="205"/>
    </row>
    <row r="32" spans="1:13" ht="18" customHeight="1" x14ac:dyDescent="0.25">
      <c r="A32" s="481"/>
      <c r="B32" s="482"/>
      <c r="C32" s="248"/>
      <c r="D32" s="481"/>
      <c r="E32" s="482"/>
      <c r="F32" s="248"/>
      <c r="G32" s="481"/>
      <c r="H32" s="482"/>
      <c r="I32" s="212"/>
      <c r="J32" s="204"/>
      <c r="K32" s="204"/>
      <c r="L32" s="204"/>
      <c r="M32" s="205"/>
    </row>
    <row r="33" spans="1:13" ht="18" customHeight="1" thickBot="1" x14ac:dyDescent="0.3">
      <c r="A33" s="483"/>
      <c r="B33" s="484"/>
      <c r="C33" s="248"/>
      <c r="D33" s="483"/>
      <c r="E33" s="484"/>
      <c r="F33" s="248"/>
      <c r="G33" s="483"/>
      <c r="H33" s="484"/>
      <c r="I33" s="212"/>
      <c r="J33" s="204"/>
      <c r="K33" s="204"/>
      <c r="L33" s="204"/>
      <c r="M33" s="205"/>
    </row>
    <row r="34" spans="1:13" ht="18" customHeight="1" thickTop="1" x14ac:dyDescent="0.25">
      <c r="A34" s="277" t="s">
        <v>323</v>
      </c>
      <c r="B34" s="279" t="s">
        <v>494</v>
      </c>
      <c r="C34" s="248"/>
      <c r="D34" s="277" t="s">
        <v>324</v>
      </c>
      <c r="E34" s="279"/>
      <c r="F34" s="248"/>
      <c r="G34" s="277" t="s">
        <v>321</v>
      </c>
      <c r="H34" s="279"/>
      <c r="I34" s="464" t="s">
        <v>432</v>
      </c>
      <c r="J34" s="465"/>
      <c r="K34" s="347"/>
      <c r="L34" s="204"/>
      <c r="M34" s="215"/>
    </row>
    <row r="35" spans="1:13" ht="18" customHeight="1" thickBot="1" x14ac:dyDescent="0.3">
      <c r="A35" s="278" t="s">
        <v>198</v>
      </c>
      <c r="B35" s="280">
        <v>45273.423055555555</v>
      </c>
      <c r="C35" s="194"/>
      <c r="D35" s="278" t="s">
        <v>198</v>
      </c>
      <c r="E35" s="280"/>
      <c r="F35" s="194"/>
      <c r="G35" s="278" t="s">
        <v>198</v>
      </c>
      <c r="H35" s="280"/>
      <c r="I35" s="466" t="s">
        <v>198</v>
      </c>
      <c r="J35" s="467"/>
      <c r="K35" s="348"/>
      <c r="L35" s="216"/>
      <c r="M35" s="217"/>
    </row>
    <row r="36" spans="1:13" ht="18" customHeight="1" thickTop="1" x14ac:dyDescent="0.25"/>
    <row r="37" spans="1:13" ht="18" hidden="1" customHeight="1" x14ac:dyDescent="0.25"/>
    <row r="38" spans="1:13" ht="18" hidden="1" customHeight="1" x14ac:dyDescent="0.25"/>
    <row r="39" spans="1:13" ht="18" hidden="1" customHeight="1" x14ac:dyDescent="0.25"/>
    <row r="40" spans="1:13" ht="18" hidden="1" customHeight="1" x14ac:dyDescent="0.25"/>
    <row r="41" spans="1:13" ht="18" hidden="1" customHeight="1" x14ac:dyDescent="0.25"/>
    <row r="42" spans="1:13" ht="18" hidden="1" customHeight="1" x14ac:dyDescent="0.25"/>
    <row r="43" spans="1:13" ht="18" hidden="1" customHeight="1" x14ac:dyDescent="0.25"/>
    <row r="44" spans="1:13" ht="18" hidden="1" customHeight="1" x14ac:dyDescent="0.25"/>
    <row r="45" spans="1:13" ht="20.25" hidden="1" customHeight="1" x14ac:dyDescent="0.25"/>
    <row r="47" spans="1:13" hidden="1" x14ac:dyDescent="0.25">
      <c r="A47" s="152"/>
      <c r="B47" s="152"/>
      <c r="C47" s="152"/>
      <c r="D47" s="152"/>
    </row>
  </sheetData>
  <sheetProtection sheet="1" objects="1" scenarios="1" selectLockedCells="1"/>
  <mergeCells count="12">
    <mergeCell ref="I34:J34"/>
    <mergeCell ref="I35:J35"/>
    <mergeCell ref="I2:M2"/>
    <mergeCell ref="A1:B1"/>
    <mergeCell ref="G1:H1"/>
    <mergeCell ref="A2:H2"/>
    <mergeCell ref="A16:B16"/>
    <mergeCell ref="D16:E16"/>
    <mergeCell ref="G16:H16"/>
    <mergeCell ref="A17:B33"/>
    <mergeCell ref="D17:E33"/>
    <mergeCell ref="G17:H33"/>
  </mergeCells>
  <conditionalFormatting sqref="A9:B9">
    <cfRule type="expression" dxfId="16" priority="8">
      <formula>IF($B$9 = "Yes",TRUE, FALSE)</formula>
    </cfRule>
  </conditionalFormatting>
  <conditionalFormatting sqref="A10:B10">
    <cfRule type="expression" dxfId="15" priority="7">
      <formula>IF($B$10 = "Yes",TRUE, FALSE)</formula>
    </cfRule>
  </conditionalFormatting>
  <conditionalFormatting sqref="G9:H9">
    <cfRule type="expression" dxfId="14" priority="5">
      <formula>IF($H$9="Yes",TRUE, FALSE)</formula>
    </cfRule>
  </conditionalFormatting>
  <conditionalFormatting sqref="G11:H11">
    <cfRule type="expression" dxfId="13" priority="4">
      <formula>IF($H$11="Yes",TRUE, FALSE)</formula>
    </cfRule>
  </conditionalFormatting>
  <conditionalFormatting sqref="A11:B11">
    <cfRule type="expression" dxfId="12" priority="3">
      <formula>IF($B$11&gt;6,TRUE,FALSE)</formula>
    </cfRule>
  </conditionalFormatting>
  <conditionalFormatting sqref="G12:H12">
    <cfRule type="expression" dxfId="11" priority="2">
      <formula>IF($H$12="Not Allowed",TRUE, FALSE)</formula>
    </cfRule>
  </conditionalFormatting>
  <conditionalFormatting sqref="A12:B12">
    <cfRule type="expression" dxfId="10" priority="1">
      <formula>IF($B$11&gt;6,TRUE,FALSE)</formula>
    </cfRule>
  </conditionalFormatting>
  <dataValidations count="7">
    <dataValidation type="textLength" operator="equal" allowBlank="1" showInputMessage="1" showErrorMessage="1" sqref="WVG983047:WVL983048 IU3:IZ6 WVG3:WVL6 WLK3:WLP6 WBO3:WBT6 VRS3:VRX6 VHW3:VIB6 UYA3:UYF6 UOE3:UOJ6 UEI3:UEN6 TUM3:TUR6 TKQ3:TKV6 TAU3:TAZ6 SQY3:SRD6 SHC3:SHH6 RXG3:RXL6 RNK3:RNP6 RDO3:RDT6 QTS3:QTX6 QJW3:QKB6 QAA3:QAF6 PQE3:PQJ6 PGI3:PGN6 OWM3:OWR6 OMQ3:OMV6 OCU3:OCZ6 NSY3:NTD6 NJC3:NJH6 MZG3:MZL6 MPK3:MPP6 MFO3:MFT6 LVS3:LVX6 LLW3:LMB6 LCA3:LCF6 KSE3:KSJ6 KII3:KIN6 JYM3:JYR6 JOQ3:JOV6 JEU3:JEZ6 IUY3:IVD6 ILC3:ILH6 IBG3:IBL6 HRK3:HRP6 HHO3:HHT6 GXS3:GXX6 GNW3:GOB6 GEA3:GEF6 FUE3:FUJ6 FKI3:FKN6 FAM3:FAR6 EQQ3:EQV6 EGU3:EGZ6 DWY3:DXD6 DNC3:DNH6 DDG3:DDL6 CTK3:CTP6 CJO3:CJT6 BZS3:BZX6 BPW3:BQB6 BGA3:BGF6 AWE3:AWJ6 AMI3:AMN6 ACM3:ACR6 SQ3:SV6 WLK983047:WLP983048 WBO983047:WBT983048 VRS983047:VRX983048 VHW983047:VIB983048 UYA983047:UYF983048 UOE983047:UOJ983048 UEI983047:UEN983048 TUM983047:TUR983048 TKQ983047:TKV983048 TAU983047:TAZ983048 SQY983047:SRD983048 SHC983047:SHH983048 RXG983047:RXL983048 RNK983047:RNP983048 RDO983047:RDT983048 QTS983047:QTX983048 QJW983047:QKB983048 QAA983047:QAF983048 PQE983047:PQJ983048 PGI983047:PGN983048 OWM983047:OWR983048 OMQ983047:OMV983048 OCU983047:OCZ983048 NSY983047:NTD983048 NJC983047:NJH983048 MZG983047:MZL983048 MPK983047:MPP983048 MFO983047:MFT983048 LVS983047:LVX983048 LLW983047:LMB983048 LCA983047:LCF983048 KSE983047:KSJ983048 KII983047:KIN983048 JYM983047:JYR983048 JOQ983047:JOV983048 JEU983047:JEZ983048 IUY983047:IVD983048 ILC983047:ILH983048 IBG983047:IBL983048 HRK983047:HRP983048 HHO983047:HHT983048 GXS983047:GXX983048 GNW983047:GOB983048 GEA983047:GEF983048 FUE983047:FUJ983048 FKI983047:FKN983048 FAM983047:FAR983048 EQQ983047:EQV983048 EGU983047:EGZ983048 DWY983047:DXD983048 DNC983047:DNH983048 DDG983047:DDL983048 CTK983047:CTP983048 CJO983047:CJT983048 BZS983047:BZX983048 BPW983047:BQB983048 BGA983047:BGF983048 AWE983047:AWJ983048 AMI983047:AMN983048 ACM983047:ACR983048 SQ983047:SV983048 IU983047:IZ983048 WVG917511:WVL917512 WLK917511:WLP917512 WBO917511:WBT917512 VRS917511:VRX917512 VHW917511:VIB917512 UYA917511:UYF917512 UOE917511:UOJ917512 UEI917511:UEN917512 TUM917511:TUR917512 TKQ917511:TKV917512 TAU917511:TAZ917512 SQY917511:SRD917512 SHC917511:SHH917512 RXG917511:RXL917512 RNK917511:RNP917512 RDO917511:RDT917512 QTS917511:QTX917512 QJW917511:QKB917512 QAA917511:QAF917512 PQE917511:PQJ917512 PGI917511:PGN917512 OWM917511:OWR917512 OMQ917511:OMV917512 OCU917511:OCZ917512 NSY917511:NTD917512 NJC917511:NJH917512 MZG917511:MZL917512 MPK917511:MPP917512 MFO917511:MFT917512 LVS917511:LVX917512 LLW917511:LMB917512 LCA917511:LCF917512 KSE917511:KSJ917512 KII917511:KIN917512 JYM917511:JYR917512 JOQ917511:JOV917512 JEU917511:JEZ917512 IUY917511:IVD917512 ILC917511:ILH917512 IBG917511:IBL917512 HRK917511:HRP917512 HHO917511:HHT917512 GXS917511:GXX917512 GNW917511:GOB917512 GEA917511:GEF917512 FUE917511:FUJ917512 FKI917511:FKN917512 FAM917511:FAR917512 EQQ917511:EQV917512 EGU917511:EGZ917512 DWY917511:DXD917512 DNC917511:DNH917512 DDG917511:DDL917512 CTK917511:CTP917512 CJO917511:CJT917512 BZS917511:BZX917512 BPW917511:BQB917512 BGA917511:BGF917512 AWE917511:AWJ917512 AMI917511:AMN917512 ACM917511:ACR917512 SQ917511:SV917512 IU917511:IZ917512 WVG851975:WVL851976 WLK851975:WLP851976 WBO851975:WBT851976 VRS851975:VRX851976 VHW851975:VIB851976 UYA851975:UYF851976 UOE851975:UOJ851976 UEI851975:UEN851976 TUM851975:TUR851976 TKQ851975:TKV851976 TAU851975:TAZ851976 SQY851975:SRD851976 SHC851975:SHH851976 RXG851975:RXL851976 RNK851975:RNP851976 RDO851975:RDT851976 QTS851975:QTX851976 QJW851975:QKB851976 QAA851975:QAF851976 PQE851975:PQJ851976 PGI851975:PGN851976 OWM851975:OWR851976 OMQ851975:OMV851976 OCU851975:OCZ851976 NSY851975:NTD851976 NJC851975:NJH851976 MZG851975:MZL851976 MPK851975:MPP851976 MFO851975:MFT851976 LVS851975:LVX851976 LLW851975:LMB851976 LCA851975:LCF851976 KSE851975:KSJ851976 KII851975:KIN851976 JYM851975:JYR851976 JOQ851975:JOV851976 JEU851975:JEZ851976 IUY851975:IVD851976 ILC851975:ILH851976 IBG851975:IBL851976 HRK851975:HRP851976 HHO851975:HHT851976 GXS851975:GXX851976 GNW851975:GOB851976 GEA851975:GEF851976 FUE851975:FUJ851976 FKI851975:FKN851976 FAM851975:FAR851976 EQQ851975:EQV851976 EGU851975:EGZ851976 DWY851975:DXD851976 DNC851975:DNH851976 DDG851975:DDL851976 CTK851975:CTP851976 CJO851975:CJT851976 BZS851975:BZX851976 BPW851975:BQB851976 BGA851975:BGF851976 AWE851975:AWJ851976 AMI851975:AMN851976 ACM851975:ACR851976 SQ851975:SV851976 IU851975:IZ851976 WVG786439:WVL786440 WLK786439:WLP786440 WBO786439:WBT786440 VRS786439:VRX786440 VHW786439:VIB786440 UYA786439:UYF786440 UOE786439:UOJ786440 UEI786439:UEN786440 TUM786439:TUR786440 TKQ786439:TKV786440 TAU786439:TAZ786440 SQY786439:SRD786440 SHC786439:SHH786440 RXG786439:RXL786440 RNK786439:RNP786440 RDO786439:RDT786440 QTS786439:QTX786440 QJW786439:QKB786440 QAA786439:QAF786440 PQE786439:PQJ786440 PGI786439:PGN786440 OWM786439:OWR786440 OMQ786439:OMV786440 OCU786439:OCZ786440 NSY786439:NTD786440 NJC786439:NJH786440 MZG786439:MZL786440 MPK786439:MPP786440 MFO786439:MFT786440 LVS786439:LVX786440 LLW786439:LMB786440 LCA786439:LCF786440 KSE786439:KSJ786440 KII786439:KIN786440 JYM786439:JYR786440 JOQ786439:JOV786440 JEU786439:JEZ786440 IUY786439:IVD786440 ILC786439:ILH786440 IBG786439:IBL786440 HRK786439:HRP786440 HHO786439:HHT786440 GXS786439:GXX786440 GNW786439:GOB786440 GEA786439:GEF786440 FUE786439:FUJ786440 FKI786439:FKN786440 FAM786439:FAR786440 EQQ786439:EQV786440 EGU786439:EGZ786440 DWY786439:DXD786440 DNC786439:DNH786440 DDG786439:DDL786440 CTK786439:CTP786440 CJO786439:CJT786440 BZS786439:BZX786440 BPW786439:BQB786440 BGA786439:BGF786440 AWE786439:AWJ786440 AMI786439:AMN786440 ACM786439:ACR786440 SQ786439:SV786440 IU786439:IZ786440 WVG720903:WVL720904 WLK720903:WLP720904 WBO720903:WBT720904 VRS720903:VRX720904 VHW720903:VIB720904 UYA720903:UYF720904 UOE720903:UOJ720904 UEI720903:UEN720904 TUM720903:TUR720904 TKQ720903:TKV720904 TAU720903:TAZ720904 SQY720903:SRD720904 SHC720903:SHH720904 RXG720903:RXL720904 RNK720903:RNP720904 RDO720903:RDT720904 QTS720903:QTX720904 QJW720903:QKB720904 QAA720903:QAF720904 PQE720903:PQJ720904 PGI720903:PGN720904 OWM720903:OWR720904 OMQ720903:OMV720904 OCU720903:OCZ720904 NSY720903:NTD720904 NJC720903:NJH720904 MZG720903:MZL720904 MPK720903:MPP720904 MFO720903:MFT720904 LVS720903:LVX720904 LLW720903:LMB720904 LCA720903:LCF720904 KSE720903:KSJ720904 KII720903:KIN720904 JYM720903:JYR720904 JOQ720903:JOV720904 JEU720903:JEZ720904 IUY720903:IVD720904 ILC720903:ILH720904 IBG720903:IBL720904 HRK720903:HRP720904 HHO720903:HHT720904 GXS720903:GXX720904 GNW720903:GOB720904 GEA720903:GEF720904 FUE720903:FUJ720904 FKI720903:FKN720904 FAM720903:FAR720904 EQQ720903:EQV720904 EGU720903:EGZ720904 DWY720903:DXD720904 DNC720903:DNH720904 DDG720903:DDL720904 CTK720903:CTP720904 CJO720903:CJT720904 BZS720903:BZX720904 BPW720903:BQB720904 BGA720903:BGF720904 AWE720903:AWJ720904 AMI720903:AMN720904 ACM720903:ACR720904 SQ720903:SV720904 IU720903:IZ720904 WVG655367:WVL655368 WLK655367:WLP655368 WBO655367:WBT655368 VRS655367:VRX655368 VHW655367:VIB655368 UYA655367:UYF655368 UOE655367:UOJ655368 UEI655367:UEN655368 TUM655367:TUR655368 TKQ655367:TKV655368 TAU655367:TAZ655368 SQY655367:SRD655368 SHC655367:SHH655368 RXG655367:RXL655368 RNK655367:RNP655368 RDO655367:RDT655368 QTS655367:QTX655368 QJW655367:QKB655368 QAA655367:QAF655368 PQE655367:PQJ655368 PGI655367:PGN655368 OWM655367:OWR655368 OMQ655367:OMV655368 OCU655367:OCZ655368 NSY655367:NTD655368 NJC655367:NJH655368 MZG655367:MZL655368 MPK655367:MPP655368 MFO655367:MFT655368 LVS655367:LVX655368 LLW655367:LMB655368 LCA655367:LCF655368 KSE655367:KSJ655368 KII655367:KIN655368 JYM655367:JYR655368 JOQ655367:JOV655368 JEU655367:JEZ655368 IUY655367:IVD655368 ILC655367:ILH655368 IBG655367:IBL655368 HRK655367:HRP655368 HHO655367:HHT655368 GXS655367:GXX655368 GNW655367:GOB655368 GEA655367:GEF655368 FUE655367:FUJ655368 FKI655367:FKN655368 FAM655367:FAR655368 EQQ655367:EQV655368 EGU655367:EGZ655368 DWY655367:DXD655368 DNC655367:DNH655368 DDG655367:DDL655368 CTK655367:CTP655368 CJO655367:CJT655368 BZS655367:BZX655368 BPW655367:BQB655368 BGA655367:BGF655368 AWE655367:AWJ655368 AMI655367:AMN655368 ACM655367:ACR655368 SQ655367:SV655368 IU655367:IZ655368 WVG589831:WVL589832 WLK589831:WLP589832 WBO589831:WBT589832 VRS589831:VRX589832 VHW589831:VIB589832 UYA589831:UYF589832 UOE589831:UOJ589832 UEI589831:UEN589832 TUM589831:TUR589832 TKQ589831:TKV589832 TAU589831:TAZ589832 SQY589831:SRD589832 SHC589831:SHH589832 RXG589831:RXL589832 RNK589831:RNP589832 RDO589831:RDT589832 QTS589831:QTX589832 QJW589831:QKB589832 QAA589831:QAF589832 PQE589831:PQJ589832 PGI589831:PGN589832 OWM589831:OWR589832 OMQ589831:OMV589832 OCU589831:OCZ589832 NSY589831:NTD589832 NJC589831:NJH589832 MZG589831:MZL589832 MPK589831:MPP589832 MFO589831:MFT589832 LVS589831:LVX589832 LLW589831:LMB589832 LCA589831:LCF589832 KSE589831:KSJ589832 KII589831:KIN589832 JYM589831:JYR589832 JOQ589831:JOV589832 JEU589831:JEZ589832 IUY589831:IVD589832 ILC589831:ILH589832 IBG589831:IBL589832 HRK589831:HRP589832 HHO589831:HHT589832 GXS589831:GXX589832 GNW589831:GOB589832 GEA589831:GEF589832 FUE589831:FUJ589832 FKI589831:FKN589832 FAM589831:FAR589832 EQQ589831:EQV589832 EGU589831:EGZ589832 DWY589831:DXD589832 DNC589831:DNH589832 DDG589831:DDL589832 CTK589831:CTP589832 CJO589831:CJT589832 BZS589831:BZX589832 BPW589831:BQB589832 BGA589831:BGF589832 AWE589831:AWJ589832 AMI589831:AMN589832 ACM589831:ACR589832 SQ589831:SV589832 IU589831:IZ589832 WVG524295:WVL524296 WLK524295:WLP524296 WBO524295:WBT524296 VRS524295:VRX524296 VHW524295:VIB524296 UYA524295:UYF524296 UOE524295:UOJ524296 UEI524295:UEN524296 TUM524295:TUR524296 TKQ524295:TKV524296 TAU524295:TAZ524296 SQY524295:SRD524296 SHC524295:SHH524296 RXG524295:RXL524296 RNK524295:RNP524296 RDO524295:RDT524296 QTS524295:QTX524296 QJW524295:QKB524296 QAA524295:QAF524296 PQE524295:PQJ524296 PGI524295:PGN524296 OWM524295:OWR524296 OMQ524295:OMV524296 OCU524295:OCZ524296 NSY524295:NTD524296 NJC524295:NJH524296 MZG524295:MZL524296 MPK524295:MPP524296 MFO524295:MFT524296 LVS524295:LVX524296 LLW524295:LMB524296 LCA524295:LCF524296 KSE524295:KSJ524296 KII524295:KIN524296 JYM524295:JYR524296 JOQ524295:JOV524296 JEU524295:JEZ524296 IUY524295:IVD524296 ILC524295:ILH524296 IBG524295:IBL524296 HRK524295:HRP524296 HHO524295:HHT524296 GXS524295:GXX524296 GNW524295:GOB524296 GEA524295:GEF524296 FUE524295:FUJ524296 FKI524295:FKN524296 FAM524295:FAR524296 EQQ524295:EQV524296 EGU524295:EGZ524296 DWY524295:DXD524296 DNC524295:DNH524296 DDG524295:DDL524296 CTK524295:CTP524296 CJO524295:CJT524296 BZS524295:BZX524296 BPW524295:BQB524296 BGA524295:BGF524296 AWE524295:AWJ524296 AMI524295:AMN524296 ACM524295:ACR524296 SQ524295:SV524296 IU524295:IZ524296 WVG458759:WVL458760 WLK458759:WLP458760 WBO458759:WBT458760 VRS458759:VRX458760 VHW458759:VIB458760 UYA458759:UYF458760 UOE458759:UOJ458760 UEI458759:UEN458760 TUM458759:TUR458760 TKQ458759:TKV458760 TAU458759:TAZ458760 SQY458759:SRD458760 SHC458759:SHH458760 RXG458759:RXL458760 RNK458759:RNP458760 RDO458759:RDT458760 QTS458759:QTX458760 QJW458759:QKB458760 QAA458759:QAF458760 PQE458759:PQJ458760 PGI458759:PGN458760 OWM458759:OWR458760 OMQ458759:OMV458760 OCU458759:OCZ458760 NSY458759:NTD458760 NJC458759:NJH458760 MZG458759:MZL458760 MPK458759:MPP458760 MFO458759:MFT458760 LVS458759:LVX458760 LLW458759:LMB458760 LCA458759:LCF458760 KSE458759:KSJ458760 KII458759:KIN458760 JYM458759:JYR458760 JOQ458759:JOV458760 JEU458759:JEZ458760 IUY458759:IVD458760 ILC458759:ILH458760 IBG458759:IBL458760 HRK458759:HRP458760 HHO458759:HHT458760 GXS458759:GXX458760 GNW458759:GOB458760 GEA458759:GEF458760 FUE458759:FUJ458760 FKI458759:FKN458760 FAM458759:FAR458760 EQQ458759:EQV458760 EGU458759:EGZ458760 DWY458759:DXD458760 DNC458759:DNH458760 DDG458759:DDL458760 CTK458759:CTP458760 CJO458759:CJT458760 BZS458759:BZX458760 BPW458759:BQB458760 BGA458759:BGF458760 AWE458759:AWJ458760 AMI458759:AMN458760 ACM458759:ACR458760 SQ458759:SV458760 IU458759:IZ458760 WVG393223:WVL393224 WLK393223:WLP393224 WBO393223:WBT393224 VRS393223:VRX393224 VHW393223:VIB393224 UYA393223:UYF393224 UOE393223:UOJ393224 UEI393223:UEN393224 TUM393223:TUR393224 TKQ393223:TKV393224 TAU393223:TAZ393224 SQY393223:SRD393224 SHC393223:SHH393224 RXG393223:RXL393224 RNK393223:RNP393224 RDO393223:RDT393224 QTS393223:QTX393224 QJW393223:QKB393224 QAA393223:QAF393224 PQE393223:PQJ393224 PGI393223:PGN393224 OWM393223:OWR393224 OMQ393223:OMV393224 OCU393223:OCZ393224 NSY393223:NTD393224 NJC393223:NJH393224 MZG393223:MZL393224 MPK393223:MPP393224 MFO393223:MFT393224 LVS393223:LVX393224 LLW393223:LMB393224 LCA393223:LCF393224 KSE393223:KSJ393224 KII393223:KIN393224 JYM393223:JYR393224 JOQ393223:JOV393224 JEU393223:JEZ393224 IUY393223:IVD393224 ILC393223:ILH393224 IBG393223:IBL393224 HRK393223:HRP393224 HHO393223:HHT393224 GXS393223:GXX393224 GNW393223:GOB393224 GEA393223:GEF393224 FUE393223:FUJ393224 FKI393223:FKN393224 FAM393223:FAR393224 EQQ393223:EQV393224 EGU393223:EGZ393224 DWY393223:DXD393224 DNC393223:DNH393224 DDG393223:DDL393224 CTK393223:CTP393224 CJO393223:CJT393224 BZS393223:BZX393224 BPW393223:BQB393224 BGA393223:BGF393224 AWE393223:AWJ393224 AMI393223:AMN393224 ACM393223:ACR393224 SQ393223:SV393224 IU393223:IZ393224 WVG327687:WVL327688 WLK327687:WLP327688 WBO327687:WBT327688 VRS327687:VRX327688 VHW327687:VIB327688 UYA327687:UYF327688 UOE327687:UOJ327688 UEI327687:UEN327688 TUM327687:TUR327688 TKQ327687:TKV327688 TAU327687:TAZ327688 SQY327687:SRD327688 SHC327687:SHH327688 RXG327687:RXL327688 RNK327687:RNP327688 RDO327687:RDT327688 QTS327687:QTX327688 QJW327687:QKB327688 QAA327687:QAF327688 PQE327687:PQJ327688 PGI327687:PGN327688 OWM327687:OWR327688 OMQ327687:OMV327688 OCU327687:OCZ327688 NSY327687:NTD327688 NJC327687:NJH327688 MZG327687:MZL327688 MPK327687:MPP327688 MFO327687:MFT327688 LVS327687:LVX327688 LLW327687:LMB327688 LCA327687:LCF327688 KSE327687:KSJ327688 KII327687:KIN327688 JYM327687:JYR327688 JOQ327687:JOV327688 JEU327687:JEZ327688 IUY327687:IVD327688 ILC327687:ILH327688 IBG327687:IBL327688 HRK327687:HRP327688 HHO327687:HHT327688 GXS327687:GXX327688 GNW327687:GOB327688 GEA327687:GEF327688 FUE327687:FUJ327688 FKI327687:FKN327688 FAM327687:FAR327688 EQQ327687:EQV327688 EGU327687:EGZ327688 DWY327687:DXD327688 DNC327687:DNH327688 DDG327687:DDL327688 CTK327687:CTP327688 CJO327687:CJT327688 BZS327687:BZX327688 BPW327687:BQB327688 BGA327687:BGF327688 AWE327687:AWJ327688 AMI327687:AMN327688 ACM327687:ACR327688 SQ327687:SV327688 IU327687:IZ327688 WVG262151:WVL262152 WLK262151:WLP262152 WBO262151:WBT262152 VRS262151:VRX262152 VHW262151:VIB262152 UYA262151:UYF262152 UOE262151:UOJ262152 UEI262151:UEN262152 TUM262151:TUR262152 TKQ262151:TKV262152 TAU262151:TAZ262152 SQY262151:SRD262152 SHC262151:SHH262152 RXG262151:RXL262152 RNK262151:RNP262152 RDO262151:RDT262152 QTS262151:QTX262152 QJW262151:QKB262152 QAA262151:QAF262152 PQE262151:PQJ262152 PGI262151:PGN262152 OWM262151:OWR262152 OMQ262151:OMV262152 OCU262151:OCZ262152 NSY262151:NTD262152 NJC262151:NJH262152 MZG262151:MZL262152 MPK262151:MPP262152 MFO262151:MFT262152 LVS262151:LVX262152 LLW262151:LMB262152 LCA262151:LCF262152 KSE262151:KSJ262152 KII262151:KIN262152 JYM262151:JYR262152 JOQ262151:JOV262152 JEU262151:JEZ262152 IUY262151:IVD262152 ILC262151:ILH262152 IBG262151:IBL262152 HRK262151:HRP262152 HHO262151:HHT262152 GXS262151:GXX262152 GNW262151:GOB262152 GEA262151:GEF262152 FUE262151:FUJ262152 FKI262151:FKN262152 FAM262151:FAR262152 EQQ262151:EQV262152 EGU262151:EGZ262152 DWY262151:DXD262152 DNC262151:DNH262152 DDG262151:DDL262152 CTK262151:CTP262152 CJO262151:CJT262152 BZS262151:BZX262152 BPW262151:BQB262152 BGA262151:BGF262152 AWE262151:AWJ262152 AMI262151:AMN262152 ACM262151:ACR262152 SQ262151:SV262152 IU262151:IZ262152 WVG196615:WVL196616 WLK196615:WLP196616 WBO196615:WBT196616 VRS196615:VRX196616 VHW196615:VIB196616 UYA196615:UYF196616 UOE196615:UOJ196616 UEI196615:UEN196616 TUM196615:TUR196616 TKQ196615:TKV196616 TAU196615:TAZ196616 SQY196615:SRD196616 SHC196615:SHH196616 RXG196615:RXL196616 RNK196615:RNP196616 RDO196615:RDT196616 QTS196615:QTX196616 QJW196615:QKB196616 QAA196615:QAF196616 PQE196615:PQJ196616 PGI196615:PGN196616 OWM196615:OWR196616 OMQ196615:OMV196616 OCU196615:OCZ196616 NSY196615:NTD196616 NJC196615:NJH196616 MZG196615:MZL196616 MPK196615:MPP196616 MFO196615:MFT196616 LVS196615:LVX196616 LLW196615:LMB196616 LCA196615:LCF196616 KSE196615:KSJ196616 KII196615:KIN196616 JYM196615:JYR196616 JOQ196615:JOV196616 JEU196615:JEZ196616 IUY196615:IVD196616 ILC196615:ILH196616 IBG196615:IBL196616 HRK196615:HRP196616 HHO196615:HHT196616 GXS196615:GXX196616 GNW196615:GOB196616 GEA196615:GEF196616 FUE196615:FUJ196616 FKI196615:FKN196616 FAM196615:FAR196616 EQQ196615:EQV196616 EGU196615:EGZ196616 DWY196615:DXD196616 DNC196615:DNH196616 DDG196615:DDL196616 CTK196615:CTP196616 CJO196615:CJT196616 BZS196615:BZX196616 BPW196615:BQB196616 BGA196615:BGF196616 AWE196615:AWJ196616 AMI196615:AMN196616 ACM196615:ACR196616 SQ196615:SV196616 IU196615:IZ196616 WVG131079:WVL131080 WLK131079:WLP131080 WBO131079:WBT131080 VRS131079:VRX131080 VHW131079:VIB131080 UYA131079:UYF131080 UOE131079:UOJ131080 UEI131079:UEN131080 TUM131079:TUR131080 TKQ131079:TKV131080 TAU131079:TAZ131080 SQY131079:SRD131080 SHC131079:SHH131080 RXG131079:RXL131080 RNK131079:RNP131080 RDO131079:RDT131080 QTS131079:QTX131080 QJW131079:QKB131080 QAA131079:QAF131080 PQE131079:PQJ131080 PGI131079:PGN131080 OWM131079:OWR131080 OMQ131079:OMV131080 OCU131079:OCZ131080 NSY131079:NTD131080 NJC131079:NJH131080 MZG131079:MZL131080 MPK131079:MPP131080 MFO131079:MFT131080 LVS131079:LVX131080 LLW131079:LMB131080 LCA131079:LCF131080 KSE131079:KSJ131080 KII131079:KIN131080 JYM131079:JYR131080 JOQ131079:JOV131080 JEU131079:JEZ131080 IUY131079:IVD131080 ILC131079:ILH131080 IBG131079:IBL131080 HRK131079:HRP131080 HHO131079:HHT131080 GXS131079:GXX131080 GNW131079:GOB131080 GEA131079:GEF131080 FUE131079:FUJ131080 FKI131079:FKN131080 FAM131079:FAR131080 EQQ131079:EQV131080 EGU131079:EGZ131080 DWY131079:DXD131080 DNC131079:DNH131080 DDG131079:DDL131080 CTK131079:CTP131080 CJO131079:CJT131080 BZS131079:BZX131080 BPW131079:BQB131080 BGA131079:BGF131080 AWE131079:AWJ131080 AMI131079:AMN131080 ACM131079:ACR131080 SQ131079:SV131080 IU131079:IZ131080 WVG65543:WVL65544 WLK65543:WLP65544 WBO65543:WBT65544 VRS65543:VRX65544 VHW65543:VIB65544 UYA65543:UYF65544 UOE65543:UOJ65544 UEI65543:UEN65544 TUM65543:TUR65544 TKQ65543:TKV65544 TAU65543:TAZ65544 SQY65543:SRD65544 SHC65543:SHH65544 RXG65543:RXL65544 RNK65543:RNP65544 RDO65543:RDT65544 QTS65543:QTX65544 QJW65543:QKB65544 QAA65543:QAF65544 PQE65543:PQJ65544 PGI65543:PGN65544 OWM65543:OWR65544 OMQ65543:OMV65544 OCU65543:OCZ65544 NSY65543:NTD65544 NJC65543:NJH65544 MZG65543:MZL65544 MPK65543:MPP65544 MFO65543:MFT65544 LVS65543:LVX65544 LLW65543:LMB65544 LCA65543:LCF65544 KSE65543:KSJ65544 KII65543:KIN65544 JYM65543:JYR65544 JOQ65543:JOV65544 JEU65543:JEZ65544 IUY65543:IVD65544 ILC65543:ILH65544 IBG65543:IBL65544 HRK65543:HRP65544 HHO65543:HHT65544 GXS65543:GXX65544 GNW65543:GOB65544 GEA65543:GEF65544 FUE65543:FUJ65544 FKI65543:FKN65544 FAM65543:FAR65544 EQQ65543:EQV65544 EGU65543:EGZ65544 DWY65543:DXD65544 DNC65543:DNH65544 DDG65543:DDL65544 CTK65543:CTP65544 CJO65543:CJT65544 BZS65543:BZX65544 BPW65543:BQB65544 BGA65543:BGF65544 AWE65543:AWJ65544 AMI65543:AMN65544 ACM65543:ACR65544 SQ65543:SV65544 IU65543:IZ65544 B65545:G65546 H65534:H65535 B131081:G131082 H131070:H131071 B196617:G196618 H196606:H196607 B262153:G262154 H262142:H262143 B327689:G327690 H327678:H327679 B393225:G393226 H393214:H393215 B458761:G458762 H458750:H458751 B524297:G524298 H524286:H524287 B589833:G589834 H589822:H589823 B655369:G655370 H655358:H655359 B720905:G720906 H720894:H720895 B786441:G786442 H786430:H786431 B851977:G851978 H851966:H851967 B917513:G917514 H917502:H917503 B983049:G983050 H983038:H983039" xr:uid="{00000000-0002-0000-0600-000000000000}">
      <formula1>6</formula1>
    </dataValidation>
    <dataValidation type="whole" operator="greaterThan" allowBlank="1" showInputMessage="1" showErrorMessage="1" sqref="WVI983051:WVI983052 IW10:IW15 WVI10:WVI15 WLM10:WLM15 WBQ10:WBQ15 VRU10:VRU15 VHY10:VHY15 UYC10:UYC15 UOG10:UOG15 UEK10:UEK15 TUO10:TUO15 TKS10:TKS15 TAW10:TAW15 SRA10:SRA15 SHE10:SHE15 RXI10:RXI15 RNM10:RNM15 RDQ10:RDQ15 QTU10:QTU15 QJY10:QJY15 QAC10:QAC15 PQG10:PQG15 PGK10:PGK15 OWO10:OWO15 OMS10:OMS15 OCW10:OCW15 NTA10:NTA15 NJE10:NJE15 MZI10:MZI15 MPM10:MPM15 MFQ10:MFQ15 LVU10:LVU15 LLY10:LLY15 LCC10:LCC15 KSG10:KSG15 KIK10:KIK15 JYO10:JYO15 JOS10:JOS15 JEW10:JEW15 IVA10:IVA15 ILE10:ILE15 IBI10:IBI15 HRM10:HRM15 HHQ10:HHQ15 GXU10:GXU15 GNY10:GNY15 GEC10:GEC15 FUG10:FUG15 FKK10:FKK15 FAO10:FAO15 EQS10:EQS15 EGW10:EGW15 DXA10:DXA15 DNE10:DNE15 DDI10:DDI15 CTM10:CTM15 CJQ10:CJQ15 BZU10:BZU15 BPY10:BPY15 BGC10:BGC15 AWG10:AWG15 AMK10:AMK15 ACO10:ACO15 SS10:SS15 WLM983051:WLM983052 WBQ983051:WBQ983052 VRU983051:VRU983052 VHY983051:VHY983052 UYC983051:UYC983052 UOG983051:UOG983052 UEK983051:UEK983052 TUO983051:TUO983052 TKS983051:TKS983052 TAW983051:TAW983052 SRA983051:SRA983052 SHE983051:SHE983052 RXI983051:RXI983052 RNM983051:RNM983052 RDQ983051:RDQ983052 QTU983051:QTU983052 QJY983051:QJY983052 QAC983051:QAC983052 PQG983051:PQG983052 PGK983051:PGK983052 OWO983051:OWO983052 OMS983051:OMS983052 OCW983051:OCW983052 NTA983051:NTA983052 NJE983051:NJE983052 MZI983051:MZI983052 MPM983051:MPM983052 MFQ983051:MFQ983052 LVU983051:LVU983052 LLY983051:LLY983052 LCC983051:LCC983052 KSG983051:KSG983052 KIK983051:KIK983052 JYO983051:JYO983052 JOS983051:JOS983052 JEW983051:JEW983052 IVA983051:IVA983052 ILE983051:ILE983052 IBI983051:IBI983052 HRM983051:HRM983052 HHQ983051:HHQ983052 GXU983051:GXU983052 GNY983051:GNY983052 GEC983051:GEC983052 FUG983051:FUG983052 FKK983051:FKK983052 FAO983051:FAO983052 EQS983051:EQS983052 EGW983051:EGW983052 DXA983051:DXA983052 DNE983051:DNE983052 DDI983051:DDI983052 CTM983051:CTM983052 CJQ983051:CJQ983052 BZU983051:BZU983052 BPY983051:BPY983052 BGC983051:BGC983052 AWG983051:AWG983052 AMK983051:AMK983052 ACO983051:ACO983052 SS983051:SS983052 IW983051:IW983052 WVI917515:WVI917516 WLM917515:WLM917516 WBQ917515:WBQ917516 VRU917515:VRU917516 VHY917515:VHY917516 UYC917515:UYC917516 UOG917515:UOG917516 UEK917515:UEK917516 TUO917515:TUO917516 TKS917515:TKS917516 TAW917515:TAW917516 SRA917515:SRA917516 SHE917515:SHE917516 RXI917515:RXI917516 RNM917515:RNM917516 RDQ917515:RDQ917516 QTU917515:QTU917516 QJY917515:QJY917516 QAC917515:QAC917516 PQG917515:PQG917516 PGK917515:PGK917516 OWO917515:OWO917516 OMS917515:OMS917516 OCW917515:OCW917516 NTA917515:NTA917516 NJE917515:NJE917516 MZI917515:MZI917516 MPM917515:MPM917516 MFQ917515:MFQ917516 LVU917515:LVU917516 LLY917515:LLY917516 LCC917515:LCC917516 KSG917515:KSG917516 KIK917515:KIK917516 JYO917515:JYO917516 JOS917515:JOS917516 JEW917515:JEW917516 IVA917515:IVA917516 ILE917515:ILE917516 IBI917515:IBI917516 HRM917515:HRM917516 HHQ917515:HHQ917516 GXU917515:GXU917516 GNY917515:GNY917516 GEC917515:GEC917516 FUG917515:FUG917516 FKK917515:FKK917516 FAO917515:FAO917516 EQS917515:EQS917516 EGW917515:EGW917516 DXA917515:DXA917516 DNE917515:DNE917516 DDI917515:DDI917516 CTM917515:CTM917516 CJQ917515:CJQ917516 BZU917515:BZU917516 BPY917515:BPY917516 BGC917515:BGC917516 AWG917515:AWG917516 AMK917515:AMK917516 ACO917515:ACO917516 SS917515:SS917516 IW917515:IW917516 WVI851979:WVI851980 WLM851979:WLM851980 WBQ851979:WBQ851980 VRU851979:VRU851980 VHY851979:VHY851980 UYC851979:UYC851980 UOG851979:UOG851980 UEK851979:UEK851980 TUO851979:TUO851980 TKS851979:TKS851980 TAW851979:TAW851980 SRA851979:SRA851980 SHE851979:SHE851980 RXI851979:RXI851980 RNM851979:RNM851980 RDQ851979:RDQ851980 QTU851979:QTU851980 QJY851979:QJY851980 QAC851979:QAC851980 PQG851979:PQG851980 PGK851979:PGK851980 OWO851979:OWO851980 OMS851979:OMS851980 OCW851979:OCW851980 NTA851979:NTA851980 NJE851979:NJE851980 MZI851979:MZI851980 MPM851979:MPM851980 MFQ851979:MFQ851980 LVU851979:LVU851980 LLY851979:LLY851980 LCC851979:LCC851980 KSG851979:KSG851980 KIK851979:KIK851980 JYO851979:JYO851980 JOS851979:JOS851980 JEW851979:JEW851980 IVA851979:IVA851980 ILE851979:ILE851980 IBI851979:IBI851980 HRM851979:HRM851980 HHQ851979:HHQ851980 GXU851979:GXU851980 GNY851979:GNY851980 GEC851979:GEC851980 FUG851979:FUG851980 FKK851979:FKK851980 FAO851979:FAO851980 EQS851979:EQS851980 EGW851979:EGW851980 DXA851979:DXA851980 DNE851979:DNE851980 DDI851979:DDI851980 CTM851979:CTM851980 CJQ851979:CJQ851980 BZU851979:BZU851980 BPY851979:BPY851980 BGC851979:BGC851980 AWG851979:AWG851980 AMK851979:AMK851980 ACO851979:ACO851980 SS851979:SS851980 IW851979:IW851980 WVI786443:WVI786444 WLM786443:WLM786444 WBQ786443:WBQ786444 VRU786443:VRU786444 VHY786443:VHY786444 UYC786443:UYC786444 UOG786443:UOG786444 UEK786443:UEK786444 TUO786443:TUO786444 TKS786443:TKS786444 TAW786443:TAW786444 SRA786443:SRA786444 SHE786443:SHE786444 RXI786443:RXI786444 RNM786443:RNM786444 RDQ786443:RDQ786444 QTU786443:QTU786444 QJY786443:QJY786444 QAC786443:QAC786444 PQG786443:PQG786444 PGK786443:PGK786444 OWO786443:OWO786444 OMS786443:OMS786444 OCW786443:OCW786444 NTA786443:NTA786444 NJE786443:NJE786444 MZI786443:MZI786444 MPM786443:MPM786444 MFQ786443:MFQ786444 LVU786443:LVU786444 LLY786443:LLY786444 LCC786443:LCC786444 KSG786443:KSG786444 KIK786443:KIK786444 JYO786443:JYO786444 JOS786443:JOS786444 JEW786443:JEW786444 IVA786443:IVA786444 ILE786443:ILE786444 IBI786443:IBI786444 HRM786443:HRM786444 HHQ786443:HHQ786444 GXU786443:GXU786444 GNY786443:GNY786444 GEC786443:GEC786444 FUG786443:FUG786444 FKK786443:FKK786444 FAO786443:FAO786444 EQS786443:EQS786444 EGW786443:EGW786444 DXA786443:DXA786444 DNE786443:DNE786444 DDI786443:DDI786444 CTM786443:CTM786444 CJQ786443:CJQ786444 BZU786443:BZU786444 BPY786443:BPY786444 BGC786443:BGC786444 AWG786443:AWG786444 AMK786443:AMK786444 ACO786443:ACO786444 SS786443:SS786444 IW786443:IW786444 WVI720907:WVI720908 WLM720907:WLM720908 WBQ720907:WBQ720908 VRU720907:VRU720908 VHY720907:VHY720908 UYC720907:UYC720908 UOG720907:UOG720908 UEK720907:UEK720908 TUO720907:TUO720908 TKS720907:TKS720908 TAW720907:TAW720908 SRA720907:SRA720908 SHE720907:SHE720908 RXI720907:RXI720908 RNM720907:RNM720908 RDQ720907:RDQ720908 QTU720907:QTU720908 QJY720907:QJY720908 QAC720907:QAC720908 PQG720907:PQG720908 PGK720907:PGK720908 OWO720907:OWO720908 OMS720907:OMS720908 OCW720907:OCW720908 NTA720907:NTA720908 NJE720907:NJE720908 MZI720907:MZI720908 MPM720907:MPM720908 MFQ720907:MFQ720908 LVU720907:LVU720908 LLY720907:LLY720908 LCC720907:LCC720908 KSG720907:KSG720908 KIK720907:KIK720908 JYO720907:JYO720908 JOS720907:JOS720908 JEW720907:JEW720908 IVA720907:IVA720908 ILE720907:ILE720908 IBI720907:IBI720908 HRM720907:HRM720908 HHQ720907:HHQ720908 GXU720907:GXU720908 GNY720907:GNY720908 GEC720907:GEC720908 FUG720907:FUG720908 FKK720907:FKK720908 FAO720907:FAO720908 EQS720907:EQS720908 EGW720907:EGW720908 DXA720907:DXA720908 DNE720907:DNE720908 DDI720907:DDI720908 CTM720907:CTM720908 CJQ720907:CJQ720908 BZU720907:BZU720908 BPY720907:BPY720908 BGC720907:BGC720908 AWG720907:AWG720908 AMK720907:AMK720908 ACO720907:ACO720908 SS720907:SS720908 IW720907:IW720908 WVI655371:WVI655372 WLM655371:WLM655372 WBQ655371:WBQ655372 VRU655371:VRU655372 VHY655371:VHY655372 UYC655371:UYC655372 UOG655371:UOG655372 UEK655371:UEK655372 TUO655371:TUO655372 TKS655371:TKS655372 TAW655371:TAW655372 SRA655371:SRA655372 SHE655371:SHE655372 RXI655371:RXI655372 RNM655371:RNM655372 RDQ655371:RDQ655372 QTU655371:QTU655372 QJY655371:QJY655372 QAC655371:QAC655372 PQG655371:PQG655372 PGK655371:PGK655372 OWO655371:OWO655372 OMS655371:OMS655372 OCW655371:OCW655372 NTA655371:NTA655372 NJE655371:NJE655372 MZI655371:MZI655372 MPM655371:MPM655372 MFQ655371:MFQ655372 LVU655371:LVU655372 LLY655371:LLY655372 LCC655371:LCC655372 KSG655371:KSG655372 KIK655371:KIK655372 JYO655371:JYO655372 JOS655371:JOS655372 JEW655371:JEW655372 IVA655371:IVA655372 ILE655371:ILE655372 IBI655371:IBI655372 HRM655371:HRM655372 HHQ655371:HHQ655372 GXU655371:GXU655372 GNY655371:GNY655372 GEC655371:GEC655372 FUG655371:FUG655372 FKK655371:FKK655372 FAO655371:FAO655372 EQS655371:EQS655372 EGW655371:EGW655372 DXA655371:DXA655372 DNE655371:DNE655372 DDI655371:DDI655372 CTM655371:CTM655372 CJQ655371:CJQ655372 BZU655371:BZU655372 BPY655371:BPY655372 BGC655371:BGC655372 AWG655371:AWG655372 AMK655371:AMK655372 ACO655371:ACO655372 SS655371:SS655372 IW655371:IW655372 WVI589835:WVI589836 WLM589835:WLM589836 WBQ589835:WBQ589836 VRU589835:VRU589836 VHY589835:VHY589836 UYC589835:UYC589836 UOG589835:UOG589836 UEK589835:UEK589836 TUO589835:TUO589836 TKS589835:TKS589836 TAW589835:TAW589836 SRA589835:SRA589836 SHE589835:SHE589836 RXI589835:RXI589836 RNM589835:RNM589836 RDQ589835:RDQ589836 QTU589835:QTU589836 QJY589835:QJY589836 QAC589835:QAC589836 PQG589835:PQG589836 PGK589835:PGK589836 OWO589835:OWO589836 OMS589835:OMS589836 OCW589835:OCW589836 NTA589835:NTA589836 NJE589835:NJE589836 MZI589835:MZI589836 MPM589835:MPM589836 MFQ589835:MFQ589836 LVU589835:LVU589836 LLY589835:LLY589836 LCC589835:LCC589836 KSG589835:KSG589836 KIK589835:KIK589836 JYO589835:JYO589836 JOS589835:JOS589836 JEW589835:JEW589836 IVA589835:IVA589836 ILE589835:ILE589836 IBI589835:IBI589836 HRM589835:HRM589836 HHQ589835:HHQ589836 GXU589835:GXU589836 GNY589835:GNY589836 GEC589835:GEC589836 FUG589835:FUG589836 FKK589835:FKK589836 FAO589835:FAO589836 EQS589835:EQS589836 EGW589835:EGW589836 DXA589835:DXA589836 DNE589835:DNE589836 DDI589835:DDI589836 CTM589835:CTM589836 CJQ589835:CJQ589836 BZU589835:BZU589836 BPY589835:BPY589836 BGC589835:BGC589836 AWG589835:AWG589836 AMK589835:AMK589836 ACO589835:ACO589836 SS589835:SS589836 IW589835:IW589836 WVI524299:WVI524300 WLM524299:WLM524300 WBQ524299:WBQ524300 VRU524299:VRU524300 VHY524299:VHY524300 UYC524299:UYC524300 UOG524299:UOG524300 UEK524299:UEK524300 TUO524299:TUO524300 TKS524299:TKS524300 TAW524299:TAW524300 SRA524299:SRA524300 SHE524299:SHE524300 RXI524299:RXI524300 RNM524299:RNM524300 RDQ524299:RDQ524300 QTU524299:QTU524300 QJY524299:QJY524300 QAC524299:QAC524300 PQG524299:PQG524300 PGK524299:PGK524300 OWO524299:OWO524300 OMS524299:OMS524300 OCW524299:OCW524300 NTA524299:NTA524300 NJE524299:NJE524300 MZI524299:MZI524300 MPM524299:MPM524300 MFQ524299:MFQ524300 LVU524299:LVU524300 LLY524299:LLY524300 LCC524299:LCC524300 KSG524299:KSG524300 KIK524299:KIK524300 JYO524299:JYO524300 JOS524299:JOS524300 JEW524299:JEW524300 IVA524299:IVA524300 ILE524299:ILE524300 IBI524299:IBI524300 HRM524299:HRM524300 HHQ524299:HHQ524300 GXU524299:GXU524300 GNY524299:GNY524300 GEC524299:GEC524300 FUG524299:FUG524300 FKK524299:FKK524300 FAO524299:FAO524300 EQS524299:EQS524300 EGW524299:EGW524300 DXA524299:DXA524300 DNE524299:DNE524300 DDI524299:DDI524300 CTM524299:CTM524300 CJQ524299:CJQ524300 BZU524299:BZU524300 BPY524299:BPY524300 BGC524299:BGC524300 AWG524299:AWG524300 AMK524299:AMK524300 ACO524299:ACO524300 SS524299:SS524300 IW524299:IW524300 WVI458763:WVI458764 WLM458763:WLM458764 WBQ458763:WBQ458764 VRU458763:VRU458764 VHY458763:VHY458764 UYC458763:UYC458764 UOG458763:UOG458764 UEK458763:UEK458764 TUO458763:TUO458764 TKS458763:TKS458764 TAW458763:TAW458764 SRA458763:SRA458764 SHE458763:SHE458764 RXI458763:RXI458764 RNM458763:RNM458764 RDQ458763:RDQ458764 QTU458763:QTU458764 QJY458763:QJY458764 QAC458763:QAC458764 PQG458763:PQG458764 PGK458763:PGK458764 OWO458763:OWO458764 OMS458763:OMS458764 OCW458763:OCW458764 NTA458763:NTA458764 NJE458763:NJE458764 MZI458763:MZI458764 MPM458763:MPM458764 MFQ458763:MFQ458764 LVU458763:LVU458764 LLY458763:LLY458764 LCC458763:LCC458764 KSG458763:KSG458764 KIK458763:KIK458764 JYO458763:JYO458764 JOS458763:JOS458764 JEW458763:JEW458764 IVA458763:IVA458764 ILE458763:ILE458764 IBI458763:IBI458764 HRM458763:HRM458764 HHQ458763:HHQ458764 GXU458763:GXU458764 GNY458763:GNY458764 GEC458763:GEC458764 FUG458763:FUG458764 FKK458763:FKK458764 FAO458763:FAO458764 EQS458763:EQS458764 EGW458763:EGW458764 DXA458763:DXA458764 DNE458763:DNE458764 DDI458763:DDI458764 CTM458763:CTM458764 CJQ458763:CJQ458764 BZU458763:BZU458764 BPY458763:BPY458764 BGC458763:BGC458764 AWG458763:AWG458764 AMK458763:AMK458764 ACO458763:ACO458764 SS458763:SS458764 IW458763:IW458764 WVI393227:WVI393228 WLM393227:WLM393228 WBQ393227:WBQ393228 VRU393227:VRU393228 VHY393227:VHY393228 UYC393227:UYC393228 UOG393227:UOG393228 UEK393227:UEK393228 TUO393227:TUO393228 TKS393227:TKS393228 TAW393227:TAW393228 SRA393227:SRA393228 SHE393227:SHE393228 RXI393227:RXI393228 RNM393227:RNM393228 RDQ393227:RDQ393228 QTU393227:QTU393228 QJY393227:QJY393228 QAC393227:QAC393228 PQG393227:PQG393228 PGK393227:PGK393228 OWO393227:OWO393228 OMS393227:OMS393228 OCW393227:OCW393228 NTA393227:NTA393228 NJE393227:NJE393228 MZI393227:MZI393228 MPM393227:MPM393228 MFQ393227:MFQ393228 LVU393227:LVU393228 LLY393227:LLY393228 LCC393227:LCC393228 KSG393227:KSG393228 KIK393227:KIK393228 JYO393227:JYO393228 JOS393227:JOS393228 JEW393227:JEW393228 IVA393227:IVA393228 ILE393227:ILE393228 IBI393227:IBI393228 HRM393227:HRM393228 HHQ393227:HHQ393228 GXU393227:GXU393228 GNY393227:GNY393228 GEC393227:GEC393228 FUG393227:FUG393228 FKK393227:FKK393228 FAO393227:FAO393228 EQS393227:EQS393228 EGW393227:EGW393228 DXA393227:DXA393228 DNE393227:DNE393228 DDI393227:DDI393228 CTM393227:CTM393228 CJQ393227:CJQ393228 BZU393227:BZU393228 BPY393227:BPY393228 BGC393227:BGC393228 AWG393227:AWG393228 AMK393227:AMK393228 ACO393227:ACO393228 SS393227:SS393228 IW393227:IW393228 WVI327691:WVI327692 WLM327691:WLM327692 WBQ327691:WBQ327692 VRU327691:VRU327692 VHY327691:VHY327692 UYC327691:UYC327692 UOG327691:UOG327692 UEK327691:UEK327692 TUO327691:TUO327692 TKS327691:TKS327692 TAW327691:TAW327692 SRA327691:SRA327692 SHE327691:SHE327692 RXI327691:RXI327692 RNM327691:RNM327692 RDQ327691:RDQ327692 QTU327691:QTU327692 QJY327691:QJY327692 QAC327691:QAC327692 PQG327691:PQG327692 PGK327691:PGK327692 OWO327691:OWO327692 OMS327691:OMS327692 OCW327691:OCW327692 NTA327691:NTA327692 NJE327691:NJE327692 MZI327691:MZI327692 MPM327691:MPM327692 MFQ327691:MFQ327692 LVU327691:LVU327692 LLY327691:LLY327692 LCC327691:LCC327692 KSG327691:KSG327692 KIK327691:KIK327692 JYO327691:JYO327692 JOS327691:JOS327692 JEW327691:JEW327692 IVA327691:IVA327692 ILE327691:ILE327692 IBI327691:IBI327692 HRM327691:HRM327692 HHQ327691:HHQ327692 GXU327691:GXU327692 GNY327691:GNY327692 GEC327691:GEC327692 FUG327691:FUG327692 FKK327691:FKK327692 FAO327691:FAO327692 EQS327691:EQS327692 EGW327691:EGW327692 DXA327691:DXA327692 DNE327691:DNE327692 DDI327691:DDI327692 CTM327691:CTM327692 CJQ327691:CJQ327692 BZU327691:BZU327692 BPY327691:BPY327692 BGC327691:BGC327692 AWG327691:AWG327692 AMK327691:AMK327692 ACO327691:ACO327692 SS327691:SS327692 IW327691:IW327692 WVI262155:WVI262156 WLM262155:WLM262156 WBQ262155:WBQ262156 VRU262155:VRU262156 VHY262155:VHY262156 UYC262155:UYC262156 UOG262155:UOG262156 UEK262155:UEK262156 TUO262155:TUO262156 TKS262155:TKS262156 TAW262155:TAW262156 SRA262155:SRA262156 SHE262155:SHE262156 RXI262155:RXI262156 RNM262155:RNM262156 RDQ262155:RDQ262156 QTU262155:QTU262156 QJY262155:QJY262156 QAC262155:QAC262156 PQG262155:PQG262156 PGK262155:PGK262156 OWO262155:OWO262156 OMS262155:OMS262156 OCW262155:OCW262156 NTA262155:NTA262156 NJE262155:NJE262156 MZI262155:MZI262156 MPM262155:MPM262156 MFQ262155:MFQ262156 LVU262155:LVU262156 LLY262155:LLY262156 LCC262155:LCC262156 KSG262155:KSG262156 KIK262155:KIK262156 JYO262155:JYO262156 JOS262155:JOS262156 JEW262155:JEW262156 IVA262155:IVA262156 ILE262155:ILE262156 IBI262155:IBI262156 HRM262155:HRM262156 HHQ262155:HHQ262156 GXU262155:GXU262156 GNY262155:GNY262156 GEC262155:GEC262156 FUG262155:FUG262156 FKK262155:FKK262156 FAO262155:FAO262156 EQS262155:EQS262156 EGW262155:EGW262156 DXA262155:DXA262156 DNE262155:DNE262156 DDI262155:DDI262156 CTM262155:CTM262156 CJQ262155:CJQ262156 BZU262155:BZU262156 BPY262155:BPY262156 BGC262155:BGC262156 AWG262155:AWG262156 AMK262155:AMK262156 ACO262155:ACO262156 SS262155:SS262156 IW262155:IW262156 WVI196619:WVI196620 WLM196619:WLM196620 WBQ196619:WBQ196620 VRU196619:VRU196620 VHY196619:VHY196620 UYC196619:UYC196620 UOG196619:UOG196620 UEK196619:UEK196620 TUO196619:TUO196620 TKS196619:TKS196620 TAW196619:TAW196620 SRA196619:SRA196620 SHE196619:SHE196620 RXI196619:RXI196620 RNM196619:RNM196620 RDQ196619:RDQ196620 QTU196619:QTU196620 QJY196619:QJY196620 QAC196619:QAC196620 PQG196619:PQG196620 PGK196619:PGK196620 OWO196619:OWO196620 OMS196619:OMS196620 OCW196619:OCW196620 NTA196619:NTA196620 NJE196619:NJE196620 MZI196619:MZI196620 MPM196619:MPM196620 MFQ196619:MFQ196620 LVU196619:LVU196620 LLY196619:LLY196620 LCC196619:LCC196620 KSG196619:KSG196620 KIK196619:KIK196620 JYO196619:JYO196620 JOS196619:JOS196620 JEW196619:JEW196620 IVA196619:IVA196620 ILE196619:ILE196620 IBI196619:IBI196620 HRM196619:HRM196620 HHQ196619:HHQ196620 GXU196619:GXU196620 GNY196619:GNY196620 GEC196619:GEC196620 FUG196619:FUG196620 FKK196619:FKK196620 FAO196619:FAO196620 EQS196619:EQS196620 EGW196619:EGW196620 DXA196619:DXA196620 DNE196619:DNE196620 DDI196619:DDI196620 CTM196619:CTM196620 CJQ196619:CJQ196620 BZU196619:BZU196620 BPY196619:BPY196620 BGC196619:BGC196620 AWG196619:AWG196620 AMK196619:AMK196620 ACO196619:ACO196620 SS196619:SS196620 IW196619:IW196620 WVI131083:WVI131084 WLM131083:WLM131084 WBQ131083:WBQ131084 VRU131083:VRU131084 VHY131083:VHY131084 UYC131083:UYC131084 UOG131083:UOG131084 UEK131083:UEK131084 TUO131083:TUO131084 TKS131083:TKS131084 TAW131083:TAW131084 SRA131083:SRA131084 SHE131083:SHE131084 RXI131083:RXI131084 RNM131083:RNM131084 RDQ131083:RDQ131084 QTU131083:QTU131084 QJY131083:QJY131084 QAC131083:QAC131084 PQG131083:PQG131084 PGK131083:PGK131084 OWO131083:OWO131084 OMS131083:OMS131084 OCW131083:OCW131084 NTA131083:NTA131084 NJE131083:NJE131084 MZI131083:MZI131084 MPM131083:MPM131084 MFQ131083:MFQ131084 LVU131083:LVU131084 LLY131083:LLY131084 LCC131083:LCC131084 KSG131083:KSG131084 KIK131083:KIK131084 JYO131083:JYO131084 JOS131083:JOS131084 JEW131083:JEW131084 IVA131083:IVA131084 ILE131083:ILE131084 IBI131083:IBI131084 HRM131083:HRM131084 HHQ131083:HHQ131084 GXU131083:GXU131084 GNY131083:GNY131084 GEC131083:GEC131084 FUG131083:FUG131084 FKK131083:FKK131084 FAO131083:FAO131084 EQS131083:EQS131084 EGW131083:EGW131084 DXA131083:DXA131084 DNE131083:DNE131084 DDI131083:DDI131084 CTM131083:CTM131084 CJQ131083:CJQ131084 BZU131083:BZU131084 BPY131083:BPY131084 BGC131083:BGC131084 AWG131083:AWG131084 AMK131083:AMK131084 ACO131083:ACO131084 SS131083:SS131084 IW131083:IW131084 WVI65547:WVI65548 WLM65547:WLM65548 WBQ65547:WBQ65548 VRU65547:VRU65548 VHY65547:VHY65548 UYC65547:UYC65548 UOG65547:UOG65548 UEK65547:UEK65548 TUO65547:TUO65548 TKS65547:TKS65548 TAW65547:TAW65548 SRA65547:SRA65548 SHE65547:SHE65548 RXI65547:RXI65548 RNM65547:RNM65548 RDQ65547:RDQ65548 QTU65547:QTU65548 QJY65547:QJY65548 QAC65547:QAC65548 PQG65547:PQG65548 PGK65547:PGK65548 OWO65547:OWO65548 OMS65547:OMS65548 OCW65547:OCW65548 NTA65547:NTA65548 NJE65547:NJE65548 MZI65547:MZI65548 MPM65547:MPM65548 MFQ65547:MFQ65548 LVU65547:LVU65548 LLY65547:LLY65548 LCC65547:LCC65548 KSG65547:KSG65548 KIK65547:KIK65548 JYO65547:JYO65548 JOS65547:JOS65548 JEW65547:JEW65548 IVA65547:IVA65548 ILE65547:ILE65548 IBI65547:IBI65548 HRM65547:HRM65548 HHQ65547:HHQ65548 GXU65547:GXU65548 GNY65547:GNY65548 GEC65547:GEC65548 FUG65547:FUG65548 FKK65547:FKK65548 FAO65547:FAO65548 EQS65547:EQS65548 EGW65547:EGW65548 DXA65547:DXA65548 DNE65547:DNE65548 DDI65547:DDI65548 CTM65547:CTM65548 CJQ65547:CJQ65548 BZU65547:BZU65548 BPY65547:BPY65548 BGC65547:BGC65548 AWG65547:AWG65548 AMK65547:AMK65548 ACO65547:ACO65548 SS65547:SS65548 IW65547:IW65548 E65549:F65550 E131085:F131086 E196621:F196622 E262157:F262158 E327693:F327694 E393229:F393230 E458765:F458766 E524301:F524302 E589837:F589838 E655373:F655374 E720909:F720910 E786445:F786446 E851981:F851982 E917517:F917518 E983053:F983054" xr:uid="{00000000-0002-0000-0600-000001000000}">
      <formula1>0</formula1>
    </dataValidation>
    <dataValidation type="list" allowBlank="1" showInputMessage="1" showErrorMessage="1" sqref="WVF983047:WVF983048 IT3:IT6 WVF3:WVF6 WLJ3:WLJ6 WBN3:WBN6 VRR3:VRR6 VHV3:VHV6 UXZ3:UXZ6 UOD3:UOD6 UEH3:UEH6 TUL3:TUL6 TKP3:TKP6 TAT3:TAT6 SQX3:SQX6 SHB3:SHB6 RXF3:RXF6 RNJ3:RNJ6 RDN3:RDN6 QTR3:QTR6 QJV3:QJV6 PZZ3:PZZ6 PQD3:PQD6 PGH3:PGH6 OWL3:OWL6 OMP3:OMP6 OCT3:OCT6 NSX3:NSX6 NJB3:NJB6 MZF3:MZF6 MPJ3:MPJ6 MFN3:MFN6 LVR3:LVR6 LLV3:LLV6 LBZ3:LBZ6 KSD3:KSD6 KIH3:KIH6 JYL3:JYL6 JOP3:JOP6 JET3:JET6 IUX3:IUX6 ILB3:ILB6 IBF3:IBF6 HRJ3:HRJ6 HHN3:HHN6 GXR3:GXR6 GNV3:GNV6 GDZ3:GDZ6 FUD3:FUD6 FKH3:FKH6 FAL3:FAL6 EQP3:EQP6 EGT3:EGT6 DWX3:DWX6 DNB3:DNB6 DDF3:DDF6 CTJ3:CTJ6 CJN3:CJN6 BZR3:BZR6 BPV3:BPV6 BFZ3:BFZ6 AWD3:AWD6 AMH3:AMH6 ACL3:ACL6 SP3:SP6 WLJ983047:WLJ983048 WBN983047:WBN983048 VRR983047:VRR983048 VHV983047:VHV983048 UXZ983047:UXZ983048 UOD983047:UOD983048 UEH983047:UEH983048 TUL983047:TUL983048 TKP983047:TKP983048 TAT983047:TAT983048 SQX983047:SQX983048 SHB983047:SHB983048 RXF983047:RXF983048 RNJ983047:RNJ983048 RDN983047:RDN983048 QTR983047:QTR983048 QJV983047:QJV983048 PZZ983047:PZZ983048 PQD983047:PQD983048 PGH983047:PGH983048 OWL983047:OWL983048 OMP983047:OMP983048 OCT983047:OCT983048 NSX983047:NSX983048 NJB983047:NJB983048 MZF983047:MZF983048 MPJ983047:MPJ983048 MFN983047:MFN983048 LVR983047:LVR983048 LLV983047:LLV983048 LBZ983047:LBZ983048 KSD983047:KSD983048 KIH983047:KIH983048 JYL983047:JYL983048 JOP983047:JOP983048 JET983047:JET983048 IUX983047:IUX983048 ILB983047:ILB983048 IBF983047:IBF983048 HRJ983047:HRJ983048 HHN983047:HHN983048 GXR983047:GXR983048 GNV983047:GNV983048 GDZ983047:GDZ983048 FUD983047:FUD983048 FKH983047:FKH983048 FAL983047:FAL983048 EQP983047:EQP983048 EGT983047:EGT983048 DWX983047:DWX983048 DNB983047:DNB983048 DDF983047:DDF983048 CTJ983047:CTJ983048 CJN983047:CJN983048 BZR983047:BZR983048 BPV983047:BPV983048 BFZ983047:BFZ983048 AWD983047:AWD983048 AMH983047:AMH983048 ACL983047:ACL983048 SP983047:SP983048 IT983047:IT983048 WVF917511:WVF917512 WLJ917511:WLJ917512 WBN917511:WBN917512 VRR917511:VRR917512 VHV917511:VHV917512 UXZ917511:UXZ917512 UOD917511:UOD917512 UEH917511:UEH917512 TUL917511:TUL917512 TKP917511:TKP917512 TAT917511:TAT917512 SQX917511:SQX917512 SHB917511:SHB917512 RXF917511:RXF917512 RNJ917511:RNJ917512 RDN917511:RDN917512 QTR917511:QTR917512 QJV917511:QJV917512 PZZ917511:PZZ917512 PQD917511:PQD917512 PGH917511:PGH917512 OWL917511:OWL917512 OMP917511:OMP917512 OCT917511:OCT917512 NSX917511:NSX917512 NJB917511:NJB917512 MZF917511:MZF917512 MPJ917511:MPJ917512 MFN917511:MFN917512 LVR917511:LVR917512 LLV917511:LLV917512 LBZ917511:LBZ917512 KSD917511:KSD917512 KIH917511:KIH917512 JYL917511:JYL917512 JOP917511:JOP917512 JET917511:JET917512 IUX917511:IUX917512 ILB917511:ILB917512 IBF917511:IBF917512 HRJ917511:HRJ917512 HHN917511:HHN917512 GXR917511:GXR917512 GNV917511:GNV917512 GDZ917511:GDZ917512 FUD917511:FUD917512 FKH917511:FKH917512 FAL917511:FAL917512 EQP917511:EQP917512 EGT917511:EGT917512 DWX917511:DWX917512 DNB917511:DNB917512 DDF917511:DDF917512 CTJ917511:CTJ917512 CJN917511:CJN917512 BZR917511:BZR917512 BPV917511:BPV917512 BFZ917511:BFZ917512 AWD917511:AWD917512 AMH917511:AMH917512 ACL917511:ACL917512 SP917511:SP917512 IT917511:IT917512 WVF851975:WVF851976 WLJ851975:WLJ851976 WBN851975:WBN851976 VRR851975:VRR851976 VHV851975:VHV851976 UXZ851975:UXZ851976 UOD851975:UOD851976 UEH851975:UEH851976 TUL851975:TUL851976 TKP851975:TKP851976 TAT851975:TAT851976 SQX851975:SQX851976 SHB851975:SHB851976 RXF851975:RXF851976 RNJ851975:RNJ851976 RDN851975:RDN851976 QTR851975:QTR851976 QJV851975:QJV851976 PZZ851975:PZZ851976 PQD851975:PQD851976 PGH851975:PGH851976 OWL851975:OWL851976 OMP851975:OMP851976 OCT851975:OCT851976 NSX851975:NSX851976 NJB851975:NJB851976 MZF851975:MZF851976 MPJ851975:MPJ851976 MFN851975:MFN851976 LVR851975:LVR851976 LLV851975:LLV851976 LBZ851975:LBZ851976 KSD851975:KSD851976 KIH851975:KIH851976 JYL851975:JYL851976 JOP851975:JOP851976 JET851975:JET851976 IUX851975:IUX851976 ILB851975:ILB851976 IBF851975:IBF851976 HRJ851975:HRJ851976 HHN851975:HHN851976 GXR851975:GXR851976 GNV851975:GNV851976 GDZ851975:GDZ851976 FUD851975:FUD851976 FKH851975:FKH851976 FAL851975:FAL851976 EQP851975:EQP851976 EGT851975:EGT851976 DWX851975:DWX851976 DNB851975:DNB851976 DDF851975:DDF851976 CTJ851975:CTJ851976 CJN851975:CJN851976 BZR851975:BZR851976 BPV851975:BPV851976 BFZ851975:BFZ851976 AWD851975:AWD851976 AMH851975:AMH851976 ACL851975:ACL851976 SP851975:SP851976 IT851975:IT851976 WVF786439:WVF786440 WLJ786439:WLJ786440 WBN786439:WBN786440 VRR786439:VRR786440 VHV786439:VHV786440 UXZ786439:UXZ786440 UOD786439:UOD786440 UEH786439:UEH786440 TUL786439:TUL786440 TKP786439:TKP786440 TAT786439:TAT786440 SQX786439:SQX786440 SHB786439:SHB786440 RXF786439:RXF786440 RNJ786439:RNJ786440 RDN786439:RDN786440 QTR786439:QTR786440 QJV786439:QJV786440 PZZ786439:PZZ786440 PQD786439:PQD786440 PGH786439:PGH786440 OWL786439:OWL786440 OMP786439:OMP786440 OCT786439:OCT786440 NSX786439:NSX786440 NJB786439:NJB786440 MZF786439:MZF786440 MPJ786439:MPJ786440 MFN786439:MFN786440 LVR786439:LVR786440 LLV786439:LLV786440 LBZ786439:LBZ786440 KSD786439:KSD786440 KIH786439:KIH786440 JYL786439:JYL786440 JOP786439:JOP786440 JET786439:JET786440 IUX786439:IUX786440 ILB786439:ILB786440 IBF786439:IBF786440 HRJ786439:HRJ786440 HHN786439:HHN786440 GXR786439:GXR786440 GNV786439:GNV786440 GDZ786439:GDZ786440 FUD786439:FUD786440 FKH786439:FKH786440 FAL786439:FAL786440 EQP786439:EQP786440 EGT786439:EGT786440 DWX786439:DWX786440 DNB786439:DNB786440 DDF786439:DDF786440 CTJ786439:CTJ786440 CJN786439:CJN786440 BZR786439:BZR786440 BPV786439:BPV786440 BFZ786439:BFZ786440 AWD786439:AWD786440 AMH786439:AMH786440 ACL786439:ACL786440 SP786439:SP786440 IT786439:IT786440 WVF720903:WVF720904 WLJ720903:WLJ720904 WBN720903:WBN720904 VRR720903:VRR720904 VHV720903:VHV720904 UXZ720903:UXZ720904 UOD720903:UOD720904 UEH720903:UEH720904 TUL720903:TUL720904 TKP720903:TKP720904 TAT720903:TAT720904 SQX720903:SQX720904 SHB720903:SHB720904 RXF720903:RXF720904 RNJ720903:RNJ720904 RDN720903:RDN720904 QTR720903:QTR720904 QJV720903:QJV720904 PZZ720903:PZZ720904 PQD720903:PQD720904 PGH720903:PGH720904 OWL720903:OWL720904 OMP720903:OMP720904 OCT720903:OCT720904 NSX720903:NSX720904 NJB720903:NJB720904 MZF720903:MZF720904 MPJ720903:MPJ720904 MFN720903:MFN720904 LVR720903:LVR720904 LLV720903:LLV720904 LBZ720903:LBZ720904 KSD720903:KSD720904 KIH720903:KIH720904 JYL720903:JYL720904 JOP720903:JOP720904 JET720903:JET720904 IUX720903:IUX720904 ILB720903:ILB720904 IBF720903:IBF720904 HRJ720903:HRJ720904 HHN720903:HHN720904 GXR720903:GXR720904 GNV720903:GNV720904 GDZ720903:GDZ720904 FUD720903:FUD720904 FKH720903:FKH720904 FAL720903:FAL720904 EQP720903:EQP720904 EGT720903:EGT720904 DWX720903:DWX720904 DNB720903:DNB720904 DDF720903:DDF720904 CTJ720903:CTJ720904 CJN720903:CJN720904 BZR720903:BZR720904 BPV720903:BPV720904 BFZ720903:BFZ720904 AWD720903:AWD720904 AMH720903:AMH720904 ACL720903:ACL720904 SP720903:SP720904 IT720903:IT720904 WVF655367:WVF655368 WLJ655367:WLJ655368 WBN655367:WBN655368 VRR655367:VRR655368 VHV655367:VHV655368 UXZ655367:UXZ655368 UOD655367:UOD655368 UEH655367:UEH655368 TUL655367:TUL655368 TKP655367:TKP655368 TAT655367:TAT655368 SQX655367:SQX655368 SHB655367:SHB655368 RXF655367:RXF655368 RNJ655367:RNJ655368 RDN655367:RDN655368 QTR655367:QTR655368 QJV655367:QJV655368 PZZ655367:PZZ655368 PQD655367:PQD655368 PGH655367:PGH655368 OWL655367:OWL655368 OMP655367:OMP655368 OCT655367:OCT655368 NSX655367:NSX655368 NJB655367:NJB655368 MZF655367:MZF655368 MPJ655367:MPJ655368 MFN655367:MFN655368 LVR655367:LVR655368 LLV655367:LLV655368 LBZ655367:LBZ655368 KSD655367:KSD655368 KIH655367:KIH655368 JYL655367:JYL655368 JOP655367:JOP655368 JET655367:JET655368 IUX655367:IUX655368 ILB655367:ILB655368 IBF655367:IBF655368 HRJ655367:HRJ655368 HHN655367:HHN655368 GXR655367:GXR655368 GNV655367:GNV655368 GDZ655367:GDZ655368 FUD655367:FUD655368 FKH655367:FKH655368 FAL655367:FAL655368 EQP655367:EQP655368 EGT655367:EGT655368 DWX655367:DWX655368 DNB655367:DNB655368 DDF655367:DDF655368 CTJ655367:CTJ655368 CJN655367:CJN655368 BZR655367:BZR655368 BPV655367:BPV655368 BFZ655367:BFZ655368 AWD655367:AWD655368 AMH655367:AMH655368 ACL655367:ACL655368 SP655367:SP655368 IT655367:IT655368 WVF589831:WVF589832 WLJ589831:WLJ589832 WBN589831:WBN589832 VRR589831:VRR589832 VHV589831:VHV589832 UXZ589831:UXZ589832 UOD589831:UOD589832 UEH589831:UEH589832 TUL589831:TUL589832 TKP589831:TKP589832 TAT589831:TAT589832 SQX589831:SQX589832 SHB589831:SHB589832 RXF589831:RXF589832 RNJ589831:RNJ589832 RDN589831:RDN589832 QTR589831:QTR589832 QJV589831:QJV589832 PZZ589831:PZZ589832 PQD589831:PQD589832 PGH589831:PGH589832 OWL589831:OWL589832 OMP589831:OMP589832 OCT589831:OCT589832 NSX589831:NSX589832 NJB589831:NJB589832 MZF589831:MZF589832 MPJ589831:MPJ589832 MFN589831:MFN589832 LVR589831:LVR589832 LLV589831:LLV589832 LBZ589831:LBZ589832 KSD589831:KSD589832 KIH589831:KIH589832 JYL589831:JYL589832 JOP589831:JOP589832 JET589831:JET589832 IUX589831:IUX589832 ILB589831:ILB589832 IBF589831:IBF589832 HRJ589831:HRJ589832 HHN589831:HHN589832 GXR589831:GXR589832 GNV589831:GNV589832 GDZ589831:GDZ589832 FUD589831:FUD589832 FKH589831:FKH589832 FAL589831:FAL589832 EQP589831:EQP589832 EGT589831:EGT589832 DWX589831:DWX589832 DNB589831:DNB589832 DDF589831:DDF589832 CTJ589831:CTJ589832 CJN589831:CJN589832 BZR589831:BZR589832 BPV589831:BPV589832 BFZ589831:BFZ589832 AWD589831:AWD589832 AMH589831:AMH589832 ACL589831:ACL589832 SP589831:SP589832 IT589831:IT589832 WVF524295:WVF524296 WLJ524295:WLJ524296 WBN524295:WBN524296 VRR524295:VRR524296 VHV524295:VHV524296 UXZ524295:UXZ524296 UOD524295:UOD524296 UEH524295:UEH524296 TUL524295:TUL524296 TKP524295:TKP524296 TAT524295:TAT524296 SQX524295:SQX524296 SHB524295:SHB524296 RXF524295:RXF524296 RNJ524295:RNJ524296 RDN524295:RDN524296 QTR524295:QTR524296 QJV524295:QJV524296 PZZ524295:PZZ524296 PQD524295:PQD524296 PGH524295:PGH524296 OWL524295:OWL524296 OMP524295:OMP524296 OCT524295:OCT524296 NSX524295:NSX524296 NJB524295:NJB524296 MZF524295:MZF524296 MPJ524295:MPJ524296 MFN524295:MFN524296 LVR524295:LVR524296 LLV524295:LLV524296 LBZ524295:LBZ524296 KSD524295:KSD524296 KIH524295:KIH524296 JYL524295:JYL524296 JOP524295:JOP524296 JET524295:JET524296 IUX524295:IUX524296 ILB524295:ILB524296 IBF524295:IBF524296 HRJ524295:HRJ524296 HHN524295:HHN524296 GXR524295:GXR524296 GNV524295:GNV524296 GDZ524295:GDZ524296 FUD524295:FUD524296 FKH524295:FKH524296 FAL524295:FAL524296 EQP524295:EQP524296 EGT524295:EGT524296 DWX524295:DWX524296 DNB524295:DNB524296 DDF524295:DDF524296 CTJ524295:CTJ524296 CJN524295:CJN524296 BZR524295:BZR524296 BPV524295:BPV524296 BFZ524295:BFZ524296 AWD524295:AWD524296 AMH524295:AMH524296 ACL524295:ACL524296 SP524295:SP524296 IT524295:IT524296 WVF458759:WVF458760 WLJ458759:WLJ458760 WBN458759:WBN458760 VRR458759:VRR458760 VHV458759:VHV458760 UXZ458759:UXZ458760 UOD458759:UOD458760 UEH458759:UEH458760 TUL458759:TUL458760 TKP458759:TKP458760 TAT458759:TAT458760 SQX458759:SQX458760 SHB458759:SHB458760 RXF458759:RXF458760 RNJ458759:RNJ458760 RDN458759:RDN458760 QTR458759:QTR458760 QJV458759:QJV458760 PZZ458759:PZZ458760 PQD458759:PQD458760 PGH458759:PGH458760 OWL458759:OWL458760 OMP458759:OMP458760 OCT458759:OCT458760 NSX458759:NSX458760 NJB458759:NJB458760 MZF458759:MZF458760 MPJ458759:MPJ458760 MFN458759:MFN458760 LVR458759:LVR458760 LLV458759:LLV458760 LBZ458759:LBZ458760 KSD458759:KSD458760 KIH458759:KIH458760 JYL458759:JYL458760 JOP458759:JOP458760 JET458759:JET458760 IUX458759:IUX458760 ILB458759:ILB458760 IBF458759:IBF458760 HRJ458759:HRJ458760 HHN458759:HHN458760 GXR458759:GXR458760 GNV458759:GNV458760 GDZ458759:GDZ458760 FUD458759:FUD458760 FKH458759:FKH458760 FAL458759:FAL458760 EQP458759:EQP458760 EGT458759:EGT458760 DWX458759:DWX458760 DNB458759:DNB458760 DDF458759:DDF458760 CTJ458759:CTJ458760 CJN458759:CJN458760 BZR458759:BZR458760 BPV458759:BPV458760 BFZ458759:BFZ458760 AWD458759:AWD458760 AMH458759:AMH458760 ACL458759:ACL458760 SP458759:SP458760 IT458759:IT458760 WVF393223:WVF393224 WLJ393223:WLJ393224 WBN393223:WBN393224 VRR393223:VRR393224 VHV393223:VHV393224 UXZ393223:UXZ393224 UOD393223:UOD393224 UEH393223:UEH393224 TUL393223:TUL393224 TKP393223:TKP393224 TAT393223:TAT393224 SQX393223:SQX393224 SHB393223:SHB393224 RXF393223:RXF393224 RNJ393223:RNJ393224 RDN393223:RDN393224 QTR393223:QTR393224 QJV393223:QJV393224 PZZ393223:PZZ393224 PQD393223:PQD393224 PGH393223:PGH393224 OWL393223:OWL393224 OMP393223:OMP393224 OCT393223:OCT393224 NSX393223:NSX393224 NJB393223:NJB393224 MZF393223:MZF393224 MPJ393223:MPJ393224 MFN393223:MFN393224 LVR393223:LVR393224 LLV393223:LLV393224 LBZ393223:LBZ393224 KSD393223:KSD393224 KIH393223:KIH393224 JYL393223:JYL393224 JOP393223:JOP393224 JET393223:JET393224 IUX393223:IUX393224 ILB393223:ILB393224 IBF393223:IBF393224 HRJ393223:HRJ393224 HHN393223:HHN393224 GXR393223:GXR393224 GNV393223:GNV393224 GDZ393223:GDZ393224 FUD393223:FUD393224 FKH393223:FKH393224 FAL393223:FAL393224 EQP393223:EQP393224 EGT393223:EGT393224 DWX393223:DWX393224 DNB393223:DNB393224 DDF393223:DDF393224 CTJ393223:CTJ393224 CJN393223:CJN393224 BZR393223:BZR393224 BPV393223:BPV393224 BFZ393223:BFZ393224 AWD393223:AWD393224 AMH393223:AMH393224 ACL393223:ACL393224 SP393223:SP393224 IT393223:IT393224 WVF327687:WVF327688 WLJ327687:WLJ327688 WBN327687:WBN327688 VRR327687:VRR327688 VHV327687:VHV327688 UXZ327687:UXZ327688 UOD327687:UOD327688 UEH327687:UEH327688 TUL327687:TUL327688 TKP327687:TKP327688 TAT327687:TAT327688 SQX327687:SQX327688 SHB327687:SHB327688 RXF327687:RXF327688 RNJ327687:RNJ327688 RDN327687:RDN327688 QTR327687:QTR327688 QJV327687:QJV327688 PZZ327687:PZZ327688 PQD327687:PQD327688 PGH327687:PGH327688 OWL327687:OWL327688 OMP327687:OMP327688 OCT327687:OCT327688 NSX327687:NSX327688 NJB327687:NJB327688 MZF327687:MZF327688 MPJ327687:MPJ327688 MFN327687:MFN327688 LVR327687:LVR327688 LLV327687:LLV327688 LBZ327687:LBZ327688 KSD327687:KSD327688 KIH327687:KIH327688 JYL327687:JYL327688 JOP327687:JOP327688 JET327687:JET327688 IUX327687:IUX327688 ILB327687:ILB327688 IBF327687:IBF327688 HRJ327687:HRJ327688 HHN327687:HHN327688 GXR327687:GXR327688 GNV327687:GNV327688 GDZ327687:GDZ327688 FUD327687:FUD327688 FKH327687:FKH327688 FAL327687:FAL327688 EQP327687:EQP327688 EGT327687:EGT327688 DWX327687:DWX327688 DNB327687:DNB327688 DDF327687:DDF327688 CTJ327687:CTJ327688 CJN327687:CJN327688 BZR327687:BZR327688 BPV327687:BPV327688 BFZ327687:BFZ327688 AWD327687:AWD327688 AMH327687:AMH327688 ACL327687:ACL327688 SP327687:SP327688 IT327687:IT327688 WVF262151:WVF262152 WLJ262151:WLJ262152 WBN262151:WBN262152 VRR262151:VRR262152 VHV262151:VHV262152 UXZ262151:UXZ262152 UOD262151:UOD262152 UEH262151:UEH262152 TUL262151:TUL262152 TKP262151:TKP262152 TAT262151:TAT262152 SQX262151:SQX262152 SHB262151:SHB262152 RXF262151:RXF262152 RNJ262151:RNJ262152 RDN262151:RDN262152 QTR262151:QTR262152 QJV262151:QJV262152 PZZ262151:PZZ262152 PQD262151:PQD262152 PGH262151:PGH262152 OWL262151:OWL262152 OMP262151:OMP262152 OCT262151:OCT262152 NSX262151:NSX262152 NJB262151:NJB262152 MZF262151:MZF262152 MPJ262151:MPJ262152 MFN262151:MFN262152 LVR262151:LVR262152 LLV262151:LLV262152 LBZ262151:LBZ262152 KSD262151:KSD262152 KIH262151:KIH262152 JYL262151:JYL262152 JOP262151:JOP262152 JET262151:JET262152 IUX262151:IUX262152 ILB262151:ILB262152 IBF262151:IBF262152 HRJ262151:HRJ262152 HHN262151:HHN262152 GXR262151:GXR262152 GNV262151:GNV262152 GDZ262151:GDZ262152 FUD262151:FUD262152 FKH262151:FKH262152 FAL262151:FAL262152 EQP262151:EQP262152 EGT262151:EGT262152 DWX262151:DWX262152 DNB262151:DNB262152 DDF262151:DDF262152 CTJ262151:CTJ262152 CJN262151:CJN262152 BZR262151:BZR262152 BPV262151:BPV262152 BFZ262151:BFZ262152 AWD262151:AWD262152 AMH262151:AMH262152 ACL262151:ACL262152 SP262151:SP262152 IT262151:IT262152 WVF196615:WVF196616 WLJ196615:WLJ196616 WBN196615:WBN196616 VRR196615:VRR196616 VHV196615:VHV196616 UXZ196615:UXZ196616 UOD196615:UOD196616 UEH196615:UEH196616 TUL196615:TUL196616 TKP196615:TKP196616 TAT196615:TAT196616 SQX196615:SQX196616 SHB196615:SHB196616 RXF196615:RXF196616 RNJ196615:RNJ196616 RDN196615:RDN196616 QTR196615:QTR196616 QJV196615:QJV196616 PZZ196615:PZZ196616 PQD196615:PQD196616 PGH196615:PGH196616 OWL196615:OWL196616 OMP196615:OMP196616 OCT196615:OCT196616 NSX196615:NSX196616 NJB196615:NJB196616 MZF196615:MZF196616 MPJ196615:MPJ196616 MFN196615:MFN196616 LVR196615:LVR196616 LLV196615:LLV196616 LBZ196615:LBZ196616 KSD196615:KSD196616 KIH196615:KIH196616 JYL196615:JYL196616 JOP196615:JOP196616 JET196615:JET196616 IUX196615:IUX196616 ILB196615:ILB196616 IBF196615:IBF196616 HRJ196615:HRJ196616 HHN196615:HHN196616 GXR196615:GXR196616 GNV196615:GNV196616 GDZ196615:GDZ196616 FUD196615:FUD196616 FKH196615:FKH196616 FAL196615:FAL196616 EQP196615:EQP196616 EGT196615:EGT196616 DWX196615:DWX196616 DNB196615:DNB196616 DDF196615:DDF196616 CTJ196615:CTJ196616 CJN196615:CJN196616 BZR196615:BZR196616 BPV196615:BPV196616 BFZ196615:BFZ196616 AWD196615:AWD196616 AMH196615:AMH196616 ACL196615:ACL196616 SP196615:SP196616 IT196615:IT196616 WVF131079:WVF131080 WLJ131079:WLJ131080 WBN131079:WBN131080 VRR131079:VRR131080 VHV131079:VHV131080 UXZ131079:UXZ131080 UOD131079:UOD131080 UEH131079:UEH131080 TUL131079:TUL131080 TKP131079:TKP131080 TAT131079:TAT131080 SQX131079:SQX131080 SHB131079:SHB131080 RXF131079:RXF131080 RNJ131079:RNJ131080 RDN131079:RDN131080 QTR131079:QTR131080 QJV131079:QJV131080 PZZ131079:PZZ131080 PQD131079:PQD131080 PGH131079:PGH131080 OWL131079:OWL131080 OMP131079:OMP131080 OCT131079:OCT131080 NSX131079:NSX131080 NJB131079:NJB131080 MZF131079:MZF131080 MPJ131079:MPJ131080 MFN131079:MFN131080 LVR131079:LVR131080 LLV131079:LLV131080 LBZ131079:LBZ131080 KSD131079:KSD131080 KIH131079:KIH131080 JYL131079:JYL131080 JOP131079:JOP131080 JET131079:JET131080 IUX131079:IUX131080 ILB131079:ILB131080 IBF131079:IBF131080 HRJ131079:HRJ131080 HHN131079:HHN131080 GXR131079:GXR131080 GNV131079:GNV131080 GDZ131079:GDZ131080 FUD131079:FUD131080 FKH131079:FKH131080 FAL131079:FAL131080 EQP131079:EQP131080 EGT131079:EGT131080 DWX131079:DWX131080 DNB131079:DNB131080 DDF131079:DDF131080 CTJ131079:CTJ131080 CJN131079:CJN131080 BZR131079:BZR131080 BPV131079:BPV131080 BFZ131079:BFZ131080 AWD131079:AWD131080 AMH131079:AMH131080 ACL131079:ACL131080 SP131079:SP131080 IT131079:IT131080 WVF65543:WVF65544 WLJ65543:WLJ65544 WBN65543:WBN65544 VRR65543:VRR65544 VHV65543:VHV65544 UXZ65543:UXZ65544 UOD65543:UOD65544 UEH65543:UEH65544 TUL65543:TUL65544 TKP65543:TKP65544 TAT65543:TAT65544 SQX65543:SQX65544 SHB65543:SHB65544 RXF65543:RXF65544 RNJ65543:RNJ65544 RDN65543:RDN65544 QTR65543:QTR65544 QJV65543:QJV65544 PZZ65543:PZZ65544 PQD65543:PQD65544 PGH65543:PGH65544 OWL65543:OWL65544 OMP65543:OMP65544 OCT65543:OCT65544 NSX65543:NSX65544 NJB65543:NJB65544 MZF65543:MZF65544 MPJ65543:MPJ65544 MFN65543:MFN65544 LVR65543:LVR65544 LLV65543:LLV65544 LBZ65543:LBZ65544 KSD65543:KSD65544 KIH65543:KIH65544 JYL65543:JYL65544 JOP65543:JOP65544 JET65543:JET65544 IUX65543:IUX65544 ILB65543:ILB65544 IBF65543:IBF65544 HRJ65543:HRJ65544 HHN65543:HHN65544 GXR65543:GXR65544 GNV65543:GNV65544 GDZ65543:GDZ65544 FUD65543:FUD65544 FKH65543:FKH65544 FAL65543:FAL65544 EQP65543:EQP65544 EGT65543:EGT65544 DWX65543:DWX65544 DNB65543:DNB65544 DDF65543:DDF65544 CTJ65543:CTJ65544 CJN65543:CJN65544 BZR65543:BZR65544 BPV65543:BPV65544 BFZ65543:BFZ65544 AWD65543:AWD65544 AMH65543:AMH65544 ACL65543:ACL65544 SP65543:SP65544 IT65543:IT65544 A65545:A65546 A131081:A131082 A196617:A196618 A262153:A262154 A327689:A327690 A393225:A393226 A458761:A458762 A524297:A524298 A589833:A589834 A655369:A655370 A720905:A720906 A786441:A786442 A851977:A851978 A917513:A917514 A983049:A983050" xr:uid="{00000000-0002-0000-0600-000002000000}">
      <formula1>"White, Gold, Red, Green, Magenta, Pink, Blue"</formula1>
    </dataValidation>
    <dataValidation type="date" operator="greaterThan" allowBlank="1" showInputMessage="1" showErrorMessage="1" sqref="WVF983049:WVF983050 IT7:IT9 WVF7:WVF9 WLJ7:WLJ9 WBN7:WBN9 VRR7:VRR9 VHV7:VHV9 UXZ7:UXZ9 UOD7:UOD9 UEH7:UEH9 TUL7:TUL9 TKP7:TKP9 TAT7:TAT9 SQX7:SQX9 SHB7:SHB9 RXF7:RXF9 RNJ7:RNJ9 RDN7:RDN9 QTR7:QTR9 QJV7:QJV9 PZZ7:PZZ9 PQD7:PQD9 PGH7:PGH9 OWL7:OWL9 OMP7:OMP9 OCT7:OCT9 NSX7:NSX9 NJB7:NJB9 MZF7:MZF9 MPJ7:MPJ9 MFN7:MFN9 LVR7:LVR9 LLV7:LLV9 LBZ7:LBZ9 KSD7:KSD9 KIH7:KIH9 JYL7:JYL9 JOP7:JOP9 JET7:JET9 IUX7:IUX9 ILB7:ILB9 IBF7:IBF9 HRJ7:HRJ9 HHN7:HHN9 GXR7:GXR9 GNV7:GNV9 GDZ7:GDZ9 FUD7:FUD9 FKH7:FKH9 FAL7:FAL9 EQP7:EQP9 EGT7:EGT9 DWX7:DWX9 DNB7:DNB9 DDF7:DDF9 CTJ7:CTJ9 CJN7:CJN9 BZR7:BZR9 BPV7:BPV9 BFZ7:BFZ9 AWD7:AWD9 AMH7:AMH9 ACL7:ACL9 SP7:SP9 WLJ983049:WLJ983050 WBN983049:WBN983050 VRR983049:VRR983050 VHV983049:VHV983050 UXZ983049:UXZ983050 UOD983049:UOD983050 UEH983049:UEH983050 TUL983049:TUL983050 TKP983049:TKP983050 TAT983049:TAT983050 SQX983049:SQX983050 SHB983049:SHB983050 RXF983049:RXF983050 RNJ983049:RNJ983050 RDN983049:RDN983050 QTR983049:QTR983050 QJV983049:QJV983050 PZZ983049:PZZ983050 PQD983049:PQD983050 PGH983049:PGH983050 OWL983049:OWL983050 OMP983049:OMP983050 OCT983049:OCT983050 NSX983049:NSX983050 NJB983049:NJB983050 MZF983049:MZF983050 MPJ983049:MPJ983050 MFN983049:MFN983050 LVR983049:LVR983050 LLV983049:LLV983050 LBZ983049:LBZ983050 KSD983049:KSD983050 KIH983049:KIH983050 JYL983049:JYL983050 JOP983049:JOP983050 JET983049:JET983050 IUX983049:IUX983050 ILB983049:ILB983050 IBF983049:IBF983050 HRJ983049:HRJ983050 HHN983049:HHN983050 GXR983049:GXR983050 GNV983049:GNV983050 GDZ983049:GDZ983050 FUD983049:FUD983050 FKH983049:FKH983050 FAL983049:FAL983050 EQP983049:EQP983050 EGT983049:EGT983050 DWX983049:DWX983050 DNB983049:DNB983050 DDF983049:DDF983050 CTJ983049:CTJ983050 CJN983049:CJN983050 BZR983049:BZR983050 BPV983049:BPV983050 BFZ983049:BFZ983050 AWD983049:AWD983050 AMH983049:AMH983050 ACL983049:ACL983050 SP983049:SP983050 IT983049:IT983050 WVF917513:WVF917514 WLJ917513:WLJ917514 WBN917513:WBN917514 VRR917513:VRR917514 VHV917513:VHV917514 UXZ917513:UXZ917514 UOD917513:UOD917514 UEH917513:UEH917514 TUL917513:TUL917514 TKP917513:TKP917514 TAT917513:TAT917514 SQX917513:SQX917514 SHB917513:SHB917514 RXF917513:RXF917514 RNJ917513:RNJ917514 RDN917513:RDN917514 QTR917513:QTR917514 QJV917513:QJV917514 PZZ917513:PZZ917514 PQD917513:PQD917514 PGH917513:PGH917514 OWL917513:OWL917514 OMP917513:OMP917514 OCT917513:OCT917514 NSX917513:NSX917514 NJB917513:NJB917514 MZF917513:MZF917514 MPJ917513:MPJ917514 MFN917513:MFN917514 LVR917513:LVR917514 LLV917513:LLV917514 LBZ917513:LBZ917514 KSD917513:KSD917514 KIH917513:KIH917514 JYL917513:JYL917514 JOP917513:JOP917514 JET917513:JET917514 IUX917513:IUX917514 ILB917513:ILB917514 IBF917513:IBF917514 HRJ917513:HRJ917514 HHN917513:HHN917514 GXR917513:GXR917514 GNV917513:GNV917514 GDZ917513:GDZ917514 FUD917513:FUD917514 FKH917513:FKH917514 FAL917513:FAL917514 EQP917513:EQP917514 EGT917513:EGT917514 DWX917513:DWX917514 DNB917513:DNB917514 DDF917513:DDF917514 CTJ917513:CTJ917514 CJN917513:CJN917514 BZR917513:BZR917514 BPV917513:BPV917514 BFZ917513:BFZ917514 AWD917513:AWD917514 AMH917513:AMH917514 ACL917513:ACL917514 SP917513:SP917514 IT917513:IT917514 WVF851977:WVF851978 WLJ851977:WLJ851978 WBN851977:WBN851978 VRR851977:VRR851978 VHV851977:VHV851978 UXZ851977:UXZ851978 UOD851977:UOD851978 UEH851977:UEH851978 TUL851977:TUL851978 TKP851977:TKP851978 TAT851977:TAT851978 SQX851977:SQX851978 SHB851977:SHB851978 RXF851977:RXF851978 RNJ851977:RNJ851978 RDN851977:RDN851978 QTR851977:QTR851978 QJV851977:QJV851978 PZZ851977:PZZ851978 PQD851977:PQD851978 PGH851977:PGH851978 OWL851977:OWL851978 OMP851977:OMP851978 OCT851977:OCT851978 NSX851977:NSX851978 NJB851977:NJB851978 MZF851977:MZF851978 MPJ851977:MPJ851978 MFN851977:MFN851978 LVR851977:LVR851978 LLV851977:LLV851978 LBZ851977:LBZ851978 KSD851977:KSD851978 KIH851977:KIH851978 JYL851977:JYL851978 JOP851977:JOP851978 JET851977:JET851978 IUX851977:IUX851978 ILB851977:ILB851978 IBF851977:IBF851978 HRJ851977:HRJ851978 HHN851977:HHN851978 GXR851977:GXR851978 GNV851977:GNV851978 GDZ851977:GDZ851978 FUD851977:FUD851978 FKH851977:FKH851978 FAL851977:FAL851978 EQP851977:EQP851978 EGT851977:EGT851978 DWX851977:DWX851978 DNB851977:DNB851978 DDF851977:DDF851978 CTJ851977:CTJ851978 CJN851977:CJN851978 BZR851977:BZR851978 BPV851977:BPV851978 BFZ851977:BFZ851978 AWD851977:AWD851978 AMH851977:AMH851978 ACL851977:ACL851978 SP851977:SP851978 IT851977:IT851978 WVF786441:WVF786442 WLJ786441:WLJ786442 WBN786441:WBN786442 VRR786441:VRR786442 VHV786441:VHV786442 UXZ786441:UXZ786442 UOD786441:UOD786442 UEH786441:UEH786442 TUL786441:TUL786442 TKP786441:TKP786442 TAT786441:TAT786442 SQX786441:SQX786442 SHB786441:SHB786442 RXF786441:RXF786442 RNJ786441:RNJ786442 RDN786441:RDN786442 QTR786441:QTR786442 QJV786441:QJV786442 PZZ786441:PZZ786442 PQD786441:PQD786442 PGH786441:PGH786442 OWL786441:OWL786442 OMP786441:OMP786442 OCT786441:OCT786442 NSX786441:NSX786442 NJB786441:NJB786442 MZF786441:MZF786442 MPJ786441:MPJ786442 MFN786441:MFN786442 LVR786441:LVR786442 LLV786441:LLV786442 LBZ786441:LBZ786442 KSD786441:KSD786442 KIH786441:KIH786442 JYL786441:JYL786442 JOP786441:JOP786442 JET786441:JET786442 IUX786441:IUX786442 ILB786441:ILB786442 IBF786441:IBF786442 HRJ786441:HRJ786442 HHN786441:HHN786442 GXR786441:GXR786442 GNV786441:GNV786442 GDZ786441:GDZ786442 FUD786441:FUD786442 FKH786441:FKH786442 FAL786441:FAL786442 EQP786441:EQP786442 EGT786441:EGT786442 DWX786441:DWX786442 DNB786441:DNB786442 DDF786441:DDF786442 CTJ786441:CTJ786442 CJN786441:CJN786442 BZR786441:BZR786442 BPV786441:BPV786442 BFZ786441:BFZ786442 AWD786441:AWD786442 AMH786441:AMH786442 ACL786441:ACL786442 SP786441:SP786442 IT786441:IT786442 WVF720905:WVF720906 WLJ720905:WLJ720906 WBN720905:WBN720906 VRR720905:VRR720906 VHV720905:VHV720906 UXZ720905:UXZ720906 UOD720905:UOD720906 UEH720905:UEH720906 TUL720905:TUL720906 TKP720905:TKP720906 TAT720905:TAT720906 SQX720905:SQX720906 SHB720905:SHB720906 RXF720905:RXF720906 RNJ720905:RNJ720906 RDN720905:RDN720906 QTR720905:QTR720906 QJV720905:QJV720906 PZZ720905:PZZ720906 PQD720905:PQD720906 PGH720905:PGH720906 OWL720905:OWL720906 OMP720905:OMP720906 OCT720905:OCT720906 NSX720905:NSX720906 NJB720905:NJB720906 MZF720905:MZF720906 MPJ720905:MPJ720906 MFN720905:MFN720906 LVR720905:LVR720906 LLV720905:LLV720906 LBZ720905:LBZ720906 KSD720905:KSD720906 KIH720905:KIH720906 JYL720905:JYL720906 JOP720905:JOP720906 JET720905:JET720906 IUX720905:IUX720906 ILB720905:ILB720906 IBF720905:IBF720906 HRJ720905:HRJ720906 HHN720905:HHN720906 GXR720905:GXR720906 GNV720905:GNV720906 GDZ720905:GDZ720906 FUD720905:FUD720906 FKH720905:FKH720906 FAL720905:FAL720906 EQP720905:EQP720906 EGT720905:EGT720906 DWX720905:DWX720906 DNB720905:DNB720906 DDF720905:DDF720906 CTJ720905:CTJ720906 CJN720905:CJN720906 BZR720905:BZR720906 BPV720905:BPV720906 BFZ720905:BFZ720906 AWD720905:AWD720906 AMH720905:AMH720906 ACL720905:ACL720906 SP720905:SP720906 IT720905:IT720906 WVF655369:WVF655370 WLJ655369:WLJ655370 WBN655369:WBN655370 VRR655369:VRR655370 VHV655369:VHV655370 UXZ655369:UXZ655370 UOD655369:UOD655370 UEH655369:UEH655370 TUL655369:TUL655370 TKP655369:TKP655370 TAT655369:TAT655370 SQX655369:SQX655370 SHB655369:SHB655370 RXF655369:RXF655370 RNJ655369:RNJ655370 RDN655369:RDN655370 QTR655369:QTR655370 QJV655369:QJV655370 PZZ655369:PZZ655370 PQD655369:PQD655370 PGH655369:PGH655370 OWL655369:OWL655370 OMP655369:OMP655370 OCT655369:OCT655370 NSX655369:NSX655370 NJB655369:NJB655370 MZF655369:MZF655370 MPJ655369:MPJ655370 MFN655369:MFN655370 LVR655369:LVR655370 LLV655369:LLV655370 LBZ655369:LBZ655370 KSD655369:KSD655370 KIH655369:KIH655370 JYL655369:JYL655370 JOP655369:JOP655370 JET655369:JET655370 IUX655369:IUX655370 ILB655369:ILB655370 IBF655369:IBF655370 HRJ655369:HRJ655370 HHN655369:HHN655370 GXR655369:GXR655370 GNV655369:GNV655370 GDZ655369:GDZ655370 FUD655369:FUD655370 FKH655369:FKH655370 FAL655369:FAL655370 EQP655369:EQP655370 EGT655369:EGT655370 DWX655369:DWX655370 DNB655369:DNB655370 DDF655369:DDF655370 CTJ655369:CTJ655370 CJN655369:CJN655370 BZR655369:BZR655370 BPV655369:BPV655370 BFZ655369:BFZ655370 AWD655369:AWD655370 AMH655369:AMH655370 ACL655369:ACL655370 SP655369:SP655370 IT655369:IT655370 WVF589833:WVF589834 WLJ589833:WLJ589834 WBN589833:WBN589834 VRR589833:VRR589834 VHV589833:VHV589834 UXZ589833:UXZ589834 UOD589833:UOD589834 UEH589833:UEH589834 TUL589833:TUL589834 TKP589833:TKP589834 TAT589833:TAT589834 SQX589833:SQX589834 SHB589833:SHB589834 RXF589833:RXF589834 RNJ589833:RNJ589834 RDN589833:RDN589834 QTR589833:QTR589834 QJV589833:QJV589834 PZZ589833:PZZ589834 PQD589833:PQD589834 PGH589833:PGH589834 OWL589833:OWL589834 OMP589833:OMP589834 OCT589833:OCT589834 NSX589833:NSX589834 NJB589833:NJB589834 MZF589833:MZF589834 MPJ589833:MPJ589834 MFN589833:MFN589834 LVR589833:LVR589834 LLV589833:LLV589834 LBZ589833:LBZ589834 KSD589833:KSD589834 KIH589833:KIH589834 JYL589833:JYL589834 JOP589833:JOP589834 JET589833:JET589834 IUX589833:IUX589834 ILB589833:ILB589834 IBF589833:IBF589834 HRJ589833:HRJ589834 HHN589833:HHN589834 GXR589833:GXR589834 GNV589833:GNV589834 GDZ589833:GDZ589834 FUD589833:FUD589834 FKH589833:FKH589834 FAL589833:FAL589834 EQP589833:EQP589834 EGT589833:EGT589834 DWX589833:DWX589834 DNB589833:DNB589834 DDF589833:DDF589834 CTJ589833:CTJ589834 CJN589833:CJN589834 BZR589833:BZR589834 BPV589833:BPV589834 BFZ589833:BFZ589834 AWD589833:AWD589834 AMH589833:AMH589834 ACL589833:ACL589834 SP589833:SP589834 IT589833:IT589834 WVF524297:WVF524298 WLJ524297:WLJ524298 WBN524297:WBN524298 VRR524297:VRR524298 VHV524297:VHV524298 UXZ524297:UXZ524298 UOD524297:UOD524298 UEH524297:UEH524298 TUL524297:TUL524298 TKP524297:TKP524298 TAT524297:TAT524298 SQX524297:SQX524298 SHB524297:SHB524298 RXF524297:RXF524298 RNJ524297:RNJ524298 RDN524297:RDN524298 QTR524297:QTR524298 QJV524297:QJV524298 PZZ524297:PZZ524298 PQD524297:PQD524298 PGH524297:PGH524298 OWL524297:OWL524298 OMP524297:OMP524298 OCT524297:OCT524298 NSX524297:NSX524298 NJB524297:NJB524298 MZF524297:MZF524298 MPJ524297:MPJ524298 MFN524297:MFN524298 LVR524297:LVR524298 LLV524297:LLV524298 LBZ524297:LBZ524298 KSD524297:KSD524298 KIH524297:KIH524298 JYL524297:JYL524298 JOP524297:JOP524298 JET524297:JET524298 IUX524297:IUX524298 ILB524297:ILB524298 IBF524297:IBF524298 HRJ524297:HRJ524298 HHN524297:HHN524298 GXR524297:GXR524298 GNV524297:GNV524298 GDZ524297:GDZ524298 FUD524297:FUD524298 FKH524297:FKH524298 FAL524297:FAL524298 EQP524297:EQP524298 EGT524297:EGT524298 DWX524297:DWX524298 DNB524297:DNB524298 DDF524297:DDF524298 CTJ524297:CTJ524298 CJN524297:CJN524298 BZR524297:BZR524298 BPV524297:BPV524298 BFZ524297:BFZ524298 AWD524297:AWD524298 AMH524297:AMH524298 ACL524297:ACL524298 SP524297:SP524298 IT524297:IT524298 WVF458761:WVF458762 WLJ458761:WLJ458762 WBN458761:WBN458762 VRR458761:VRR458762 VHV458761:VHV458762 UXZ458761:UXZ458762 UOD458761:UOD458762 UEH458761:UEH458762 TUL458761:TUL458762 TKP458761:TKP458762 TAT458761:TAT458762 SQX458761:SQX458762 SHB458761:SHB458762 RXF458761:RXF458762 RNJ458761:RNJ458762 RDN458761:RDN458762 QTR458761:QTR458762 QJV458761:QJV458762 PZZ458761:PZZ458762 PQD458761:PQD458762 PGH458761:PGH458762 OWL458761:OWL458762 OMP458761:OMP458762 OCT458761:OCT458762 NSX458761:NSX458762 NJB458761:NJB458762 MZF458761:MZF458762 MPJ458761:MPJ458762 MFN458761:MFN458762 LVR458761:LVR458762 LLV458761:LLV458762 LBZ458761:LBZ458762 KSD458761:KSD458762 KIH458761:KIH458762 JYL458761:JYL458762 JOP458761:JOP458762 JET458761:JET458762 IUX458761:IUX458762 ILB458761:ILB458762 IBF458761:IBF458762 HRJ458761:HRJ458762 HHN458761:HHN458762 GXR458761:GXR458762 GNV458761:GNV458762 GDZ458761:GDZ458762 FUD458761:FUD458762 FKH458761:FKH458762 FAL458761:FAL458762 EQP458761:EQP458762 EGT458761:EGT458762 DWX458761:DWX458762 DNB458761:DNB458762 DDF458761:DDF458762 CTJ458761:CTJ458762 CJN458761:CJN458762 BZR458761:BZR458762 BPV458761:BPV458762 BFZ458761:BFZ458762 AWD458761:AWD458762 AMH458761:AMH458762 ACL458761:ACL458762 SP458761:SP458762 IT458761:IT458762 WVF393225:WVF393226 WLJ393225:WLJ393226 WBN393225:WBN393226 VRR393225:VRR393226 VHV393225:VHV393226 UXZ393225:UXZ393226 UOD393225:UOD393226 UEH393225:UEH393226 TUL393225:TUL393226 TKP393225:TKP393226 TAT393225:TAT393226 SQX393225:SQX393226 SHB393225:SHB393226 RXF393225:RXF393226 RNJ393225:RNJ393226 RDN393225:RDN393226 QTR393225:QTR393226 QJV393225:QJV393226 PZZ393225:PZZ393226 PQD393225:PQD393226 PGH393225:PGH393226 OWL393225:OWL393226 OMP393225:OMP393226 OCT393225:OCT393226 NSX393225:NSX393226 NJB393225:NJB393226 MZF393225:MZF393226 MPJ393225:MPJ393226 MFN393225:MFN393226 LVR393225:LVR393226 LLV393225:LLV393226 LBZ393225:LBZ393226 KSD393225:KSD393226 KIH393225:KIH393226 JYL393225:JYL393226 JOP393225:JOP393226 JET393225:JET393226 IUX393225:IUX393226 ILB393225:ILB393226 IBF393225:IBF393226 HRJ393225:HRJ393226 HHN393225:HHN393226 GXR393225:GXR393226 GNV393225:GNV393226 GDZ393225:GDZ393226 FUD393225:FUD393226 FKH393225:FKH393226 FAL393225:FAL393226 EQP393225:EQP393226 EGT393225:EGT393226 DWX393225:DWX393226 DNB393225:DNB393226 DDF393225:DDF393226 CTJ393225:CTJ393226 CJN393225:CJN393226 BZR393225:BZR393226 BPV393225:BPV393226 BFZ393225:BFZ393226 AWD393225:AWD393226 AMH393225:AMH393226 ACL393225:ACL393226 SP393225:SP393226 IT393225:IT393226 WVF327689:WVF327690 WLJ327689:WLJ327690 WBN327689:WBN327690 VRR327689:VRR327690 VHV327689:VHV327690 UXZ327689:UXZ327690 UOD327689:UOD327690 UEH327689:UEH327690 TUL327689:TUL327690 TKP327689:TKP327690 TAT327689:TAT327690 SQX327689:SQX327690 SHB327689:SHB327690 RXF327689:RXF327690 RNJ327689:RNJ327690 RDN327689:RDN327690 QTR327689:QTR327690 QJV327689:QJV327690 PZZ327689:PZZ327690 PQD327689:PQD327690 PGH327689:PGH327690 OWL327689:OWL327690 OMP327689:OMP327690 OCT327689:OCT327690 NSX327689:NSX327690 NJB327689:NJB327690 MZF327689:MZF327690 MPJ327689:MPJ327690 MFN327689:MFN327690 LVR327689:LVR327690 LLV327689:LLV327690 LBZ327689:LBZ327690 KSD327689:KSD327690 KIH327689:KIH327690 JYL327689:JYL327690 JOP327689:JOP327690 JET327689:JET327690 IUX327689:IUX327690 ILB327689:ILB327690 IBF327689:IBF327690 HRJ327689:HRJ327690 HHN327689:HHN327690 GXR327689:GXR327690 GNV327689:GNV327690 GDZ327689:GDZ327690 FUD327689:FUD327690 FKH327689:FKH327690 FAL327689:FAL327690 EQP327689:EQP327690 EGT327689:EGT327690 DWX327689:DWX327690 DNB327689:DNB327690 DDF327689:DDF327690 CTJ327689:CTJ327690 CJN327689:CJN327690 BZR327689:BZR327690 BPV327689:BPV327690 BFZ327689:BFZ327690 AWD327689:AWD327690 AMH327689:AMH327690 ACL327689:ACL327690 SP327689:SP327690 IT327689:IT327690 WVF262153:WVF262154 WLJ262153:WLJ262154 WBN262153:WBN262154 VRR262153:VRR262154 VHV262153:VHV262154 UXZ262153:UXZ262154 UOD262153:UOD262154 UEH262153:UEH262154 TUL262153:TUL262154 TKP262153:TKP262154 TAT262153:TAT262154 SQX262153:SQX262154 SHB262153:SHB262154 RXF262153:RXF262154 RNJ262153:RNJ262154 RDN262153:RDN262154 QTR262153:QTR262154 QJV262153:QJV262154 PZZ262153:PZZ262154 PQD262153:PQD262154 PGH262153:PGH262154 OWL262153:OWL262154 OMP262153:OMP262154 OCT262153:OCT262154 NSX262153:NSX262154 NJB262153:NJB262154 MZF262153:MZF262154 MPJ262153:MPJ262154 MFN262153:MFN262154 LVR262153:LVR262154 LLV262153:LLV262154 LBZ262153:LBZ262154 KSD262153:KSD262154 KIH262153:KIH262154 JYL262153:JYL262154 JOP262153:JOP262154 JET262153:JET262154 IUX262153:IUX262154 ILB262153:ILB262154 IBF262153:IBF262154 HRJ262153:HRJ262154 HHN262153:HHN262154 GXR262153:GXR262154 GNV262153:GNV262154 GDZ262153:GDZ262154 FUD262153:FUD262154 FKH262153:FKH262154 FAL262153:FAL262154 EQP262153:EQP262154 EGT262153:EGT262154 DWX262153:DWX262154 DNB262153:DNB262154 DDF262153:DDF262154 CTJ262153:CTJ262154 CJN262153:CJN262154 BZR262153:BZR262154 BPV262153:BPV262154 BFZ262153:BFZ262154 AWD262153:AWD262154 AMH262153:AMH262154 ACL262153:ACL262154 SP262153:SP262154 IT262153:IT262154 WVF196617:WVF196618 WLJ196617:WLJ196618 WBN196617:WBN196618 VRR196617:VRR196618 VHV196617:VHV196618 UXZ196617:UXZ196618 UOD196617:UOD196618 UEH196617:UEH196618 TUL196617:TUL196618 TKP196617:TKP196618 TAT196617:TAT196618 SQX196617:SQX196618 SHB196617:SHB196618 RXF196617:RXF196618 RNJ196617:RNJ196618 RDN196617:RDN196618 QTR196617:QTR196618 QJV196617:QJV196618 PZZ196617:PZZ196618 PQD196617:PQD196618 PGH196617:PGH196618 OWL196617:OWL196618 OMP196617:OMP196618 OCT196617:OCT196618 NSX196617:NSX196618 NJB196617:NJB196618 MZF196617:MZF196618 MPJ196617:MPJ196618 MFN196617:MFN196618 LVR196617:LVR196618 LLV196617:LLV196618 LBZ196617:LBZ196618 KSD196617:KSD196618 KIH196617:KIH196618 JYL196617:JYL196618 JOP196617:JOP196618 JET196617:JET196618 IUX196617:IUX196618 ILB196617:ILB196618 IBF196617:IBF196618 HRJ196617:HRJ196618 HHN196617:HHN196618 GXR196617:GXR196618 GNV196617:GNV196618 GDZ196617:GDZ196618 FUD196617:FUD196618 FKH196617:FKH196618 FAL196617:FAL196618 EQP196617:EQP196618 EGT196617:EGT196618 DWX196617:DWX196618 DNB196617:DNB196618 DDF196617:DDF196618 CTJ196617:CTJ196618 CJN196617:CJN196618 BZR196617:BZR196618 BPV196617:BPV196618 BFZ196617:BFZ196618 AWD196617:AWD196618 AMH196617:AMH196618 ACL196617:ACL196618 SP196617:SP196618 IT196617:IT196618 WVF131081:WVF131082 WLJ131081:WLJ131082 WBN131081:WBN131082 VRR131081:VRR131082 VHV131081:VHV131082 UXZ131081:UXZ131082 UOD131081:UOD131082 UEH131081:UEH131082 TUL131081:TUL131082 TKP131081:TKP131082 TAT131081:TAT131082 SQX131081:SQX131082 SHB131081:SHB131082 RXF131081:RXF131082 RNJ131081:RNJ131082 RDN131081:RDN131082 QTR131081:QTR131082 QJV131081:QJV131082 PZZ131081:PZZ131082 PQD131081:PQD131082 PGH131081:PGH131082 OWL131081:OWL131082 OMP131081:OMP131082 OCT131081:OCT131082 NSX131081:NSX131082 NJB131081:NJB131082 MZF131081:MZF131082 MPJ131081:MPJ131082 MFN131081:MFN131082 LVR131081:LVR131082 LLV131081:LLV131082 LBZ131081:LBZ131082 KSD131081:KSD131082 KIH131081:KIH131082 JYL131081:JYL131082 JOP131081:JOP131082 JET131081:JET131082 IUX131081:IUX131082 ILB131081:ILB131082 IBF131081:IBF131082 HRJ131081:HRJ131082 HHN131081:HHN131082 GXR131081:GXR131082 GNV131081:GNV131082 GDZ131081:GDZ131082 FUD131081:FUD131082 FKH131081:FKH131082 FAL131081:FAL131082 EQP131081:EQP131082 EGT131081:EGT131082 DWX131081:DWX131082 DNB131081:DNB131082 DDF131081:DDF131082 CTJ131081:CTJ131082 CJN131081:CJN131082 BZR131081:BZR131082 BPV131081:BPV131082 BFZ131081:BFZ131082 AWD131081:AWD131082 AMH131081:AMH131082 ACL131081:ACL131082 SP131081:SP131082 IT131081:IT131082 WVF65545:WVF65546 WLJ65545:WLJ65546 WBN65545:WBN65546 VRR65545:VRR65546 VHV65545:VHV65546 UXZ65545:UXZ65546 UOD65545:UOD65546 UEH65545:UEH65546 TUL65545:TUL65546 TKP65545:TKP65546 TAT65545:TAT65546 SQX65545:SQX65546 SHB65545:SHB65546 RXF65545:RXF65546 RNJ65545:RNJ65546 RDN65545:RDN65546 QTR65545:QTR65546 QJV65545:QJV65546 PZZ65545:PZZ65546 PQD65545:PQD65546 PGH65545:PGH65546 OWL65545:OWL65546 OMP65545:OMP65546 OCT65545:OCT65546 NSX65545:NSX65546 NJB65545:NJB65546 MZF65545:MZF65546 MPJ65545:MPJ65546 MFN65545:MFN65546 LVR65545:LVR65546 LLV65545:LLV65546 LBZ65545:LBZ65546 KSD65545:KSD65546 KIH65545:KIH65546 JYL65545:JYL65546 JOP65545:JOP65546 JET65545:JET65546 IUX65545:IUX65546 ILB65545:ILB65546 IBF65545:IBF65546 HRJ65545:HRJ65546 HHN65545:HHN65546 GXR65545:GXR65546 GNV65545:GNV65546 GDZ65545:GDZ65546 FUD65545:FUD65546 FKH65545:FKH65546 FAL65545:FAL65546 EQP65545:EQP65546 EGT65545:EGT65546 DWX65545:DWX65546 DNB65545:DNB65546 DDF65545:DDF65546 CTJ65545:CTJ65546 CJN65545:CJN65546 BZR65545:BZR65546 BPV65545:BPV65546 BFZ65545:BFZ65546 AWD65545:AWD65546 AMH65545:AMH65546 ACL65545:ACL65546 SP65545:SP65546 IT65545:IT65546 A65547:A65548 A131083:A131084 A196619:A196620 A262155:A262156 A327691:A327692 A393227:A393228 A458763:A458764 A524299:A524300 A589835:A589836 A655371:A655372 A720907:A720908 A786443:A786444 A851979:A851980 A917515:A917516 A983051:A983052" xr:uid="{00000000-0002-0000-0600-000003000000}">
      <formula1>TODAY()</formula1>
    </dataValidation>
    <dataValidation type="decimal" allowBlank="1" showInputMessage="1" showErrorMessage="1" sqref="B983060:C983060 WVG21 WLK21 WBO21 VRS21 VHW21 UYA21 UOE21 UEI21 TUM21 TKQ21 TAU21 SQY21 SHC21 RXG21 RNK21 RDO21 QTS21 QJW21 QAA21 PQE21 PGI21 OWM21 OMQ21 OCU21 NSY21 NJC21 MZG21 MPK21 MFO21 LVS21 LLW21 LCA21 KSE21 KII21 JYM21 JOQ21 JEU21 IUY21 ILC21 IBG21 HRK21 HHO21 GXS21 GNW21 GEA21 FUE21 FKI21 FAM21 EQQ21 EGU21 DWY21 DNC21 DDG21 CTK21 CJO21 BZS21 BPW21 BGA21 AWE21 AMI21 ACM21 SQ21 IU21 WVG983058 WLK983058 WBO983058 VRS983058 VHW983058 UYA983058 UOE983058 UEI983058 TUM983058 TKQ983058 TAU983058 SQY983058 SHC983058 RXG983058 RNK983058 RDO983058 QTS983058 QJW983058 QAA983058 PQE983058 PGI983058 OWM983058 OMQ983058 OCU983058 NSY983058 NJC983058 MZG983058 MPK983058 MFO983058 LVS983058 LLW983058 LCA983058 KSE983058 KII983058 JYM983058 JOQ983058 JEU983058 IUY983058 ILC983058 IBG983058 HRK983058 HHO983058 GXS983058 GNW983058 GEA983058 FUE983058 FKI983058 FAM983058 EQQ983058 EGU983058 DWY983058 DNC983058 DDG983058 CTK983058 CJO983058 BZS983058 BPW983058 BGA983058 AWE983058 AMI983058 ACM983058 SQ983058 IU983058 WVG917522 WLK917522 WBO917522 VRS917522 VHW917522 UYA917522 UOE917522 UEI917522 TUM917522 TKQ917522 TAU917522 SQY917522 SHC917522 RXG917522 RNK917522 RDO917522 QTS917522 QJW917522 QAA917522 PQE917522 PGI917522 OWM917522 OMQ917522 OCU917522 NSY917522 NJC917522 MZG917522 MPK917522 MFO917522 LVS917522 LLW917522 LCA917522 KSE917522 KII917522 JYM917522 JOQ917522 JEU917522 IUY917522 ILC917522 IBG917522 HRK917522 HHO917522 GXS917522 GNW917522 GEA917522 FUE917522 FKI917522 FAM917522 EQQ917522 EGU917522 DWY917522 DNC917522 DDG917522 CTK917522 CJO917522 BZS917522 BPW917522 BGA917522 AWE917522 AMI917522 ACM917522 SQ917522 IU917522 WVG851986 WLK851986 WBO851986 VRS851986 VHW851986 UYA851986 UOE851986 UEI851986 TUM851986 TKQ851986 TAU851986 SQY851986 SHC851986 RXG851986 RNK851986 RDO851986 QTS851986 QJW851986 QAA851986 PQE851986 PGI851986 OWM851986 OMQ851986 OCU851986 NSY851986 NJC851986 MZG851986 MPK851986 MFO851986 LVS851986 LLW851986 LCA851986 KSE851986 KII851986 JYM851986 JOQ851986 JEU851986 IUY851986 ILC851986 IBG851986 HRK851986 HHO851986 GXS851986 GNW851986 GEA851986 FUE851986 FKI851986 FAM851986 EQQ851986 EGU851986 DWY851986 DNC851986 DDG851986 CTK851986 CJO851986 BZS851986 BPW851986 BGA851986 AWE851986 AMI851986 ACM851986 SQ851986 IU851986 WVG786450 WLK786450 WBO786450 VRS786450 VHW786450 UYA786450 UOE786450 UEI786450 TUM786450 TKQ786450 TAU786450 SQY786450 SHC786450 RXG786450 RNK786450 RDO786450 QTS786450 QJW786450 QAA786450 PQE786450 PGI786450 OWM786450 OMQ786450 OCU786450 NSY786450 NJC786450 MZG786450 MPK786450 MFO786450 LVS786450 LLW786450 LCA786450 KSE786450 KII786450 JYM786450 JOQ786450 JEU786450 IUY786450 ILC786450 IBG786450 HRK786450 HHO786450 GXS786450 GNW786450 GEA786450 FUE786450 FKI786450 FAM786450 EQQ786450 EGU786450 DWY786450 DNC786450 DDG786450 CTK786450 CJO786450 BZS786450 BPW786450 BGA786450 AWE786450 AMI786450 ACM786450 SQ786450 IU786450 WVG720914 WLK720914 WBO720914 VRS720914 VHW720914 UYA720914 UOE720914 UEI720914 TUM720914 TKQ720914 TAU720914 SQY720914 SHC720914 RXG720914 RNK720914 RDO720914 QTS720914 QJW720914 QAA720914 PQE720914 PGI720914 OWM720914 OMQ720914 OCU720914 NSY720914 NJC720914 MZG720914 MPK720914 MFO720914 LVS720914 LLW720914 LCA720914 KSE720914 KII720914 JYM720914 JOQ720914 JEU720914 IUY720914 ILC720914 IBG720914 HRK720914 HHO720914 GXS720914 GNW720914 GEA720914 FUE720914 FKI720914 FAM720914 EQQ720914 EGU720914 DWY720914 DNC720914 DDG720914 CTK720914 CJO720914 BZS720914 BPW720914 BGA720914 AWE720914 AMI720914 ACM720914 SQ720914 IU720914 WVG655378 WLK655378 WBO655378 VRS655378 VHW655378 UYA655378 UOE655378 UEI655378 TUM655378 TKQ655378 TAU655378 SQY655378 SHC655378 RXG655378 RNK655378 RDO655378 QTS655378 QJW655378 QAA655378 PQE655378 PGI655378 OWM655378 OMQ655378 OCU655378 NSY655378 NJC655378 MZG655378 MPK655378 MFO655378 LVS655378 LLW655378 LCA655378 KSE655378 KII655378 JYM655378 JOQ655378 JEU655378 IUY655378 ILC655378 IBG655378 HRK655378 HHO655378 GXS655378 GNW655378 GEA655378 FUE655378 FKI655378 FAM655378 EQQ655378 EGU655378 DWY655378 DNC655378 DDG655378 CTK655378 CJO655378 BZS655378 BPW655378 BGA655378 AWE655378 AMI655378 ACM655378 SQ655378 IU655378 WVG589842 WLK589842 WBO589842 VRS589842 VHW589842 UYA589842 UOE589842 UEI589842 TUM589842 TKQ589842 TAU589842 SQY589842 SHC589842 RXG589842 RNK589842 RDO589842 QTS589842 QJW589842 QAA589842 PQE589842 PGI589842 OWM589842 OMQ589842 OCU589842 NSY589842 NJC589842 MZG589842 MPK589842 MFO589842 LVS589842 LLW589842 LCA589842 KSE589842 KII589842 JYM589842 JOQ589842 JEU589842 IUY589842 ILC589842 IBG589842 HRK589842 HHO589842 GXS589842 GNW589842 GEA589842 FUE589842 FKI589842 FAM589842 EQQ589842 EGU589842 DWY589842 DNC589842 DDG589842 CTK589842 CJO589842 BZS589842 BPW589842 BGA589842 AWE589842 AMI589842 ACM589842 SQ589842 IU589842 WVG524306 WLK524306 WBO524306 VRS524306 VHW524306 UYA524306 UOE524306 UEI524306 TUM524306 TKQ524306 TAU524306 SQY524306 SHC524306 RXG524306 RNK524306 RDO524306 QTS524306 QJW524306 QAA524306 PQE524306 PGI524306 OWM524306 OMQ524306 OCU524306 NSY524306 NJC524306 MZG524306 MPK524306 MFO524306 LVS524306 LLW524306 LCA524306 KSE524306 KII524306 JYM524306 JOQ524306 JEU524306 IUY524306 ILC524306 IBG524306 HRK524306 HHO524306 GXS524306 GNW524306 GEA524306 FUE524306 FKI524306 FAM524306 EQQ524306 EGU524306 DWY524306 DNC524306 DDG524306 CTK524306 CJO524306 BZS524306 BPW524306 BGA524306 AWE524306 AMI524306 ACM524306 SQ524306 IU524306 WVG458770 WLK458770 WBO458770 VRS458770 VHW458770 UYA458770 UOE458770 UEI458770 TUM458770 TKQ458770 TAU458770 SQY458770 SHC458770 RXG458770 RNK458770 RDO458770 QTS458770 QJW458770 QAA458770 PQE458770 PGI458770 OWM458770 OMQ458770 OCU458770 NSY458770 NJC458770 MZG458770 MPK458770 MFO458770 LVS458770 LLW458770 LCA458770 KSE458770 KII458770 JYM458770 JOQ458770 JEU458770 IUY458770 ILC458770 IBG458770 HRK458770 HHO458770 GXS458770 GNW458770 GEA458770 FUE458770 FKI458770 FAM458770 EQQ458770 EGU458770 DWY458770 DNC458770 DDG458770 CTK458770 CJO458770 BZS458770 BPW458770 BGA458770 AWE458770 AMI458770 ACM458770 SQ458770 IU458770 WVG393234 WLK393234 WBO393234 VRS393234 VHW393234 UYA393234 UOE393234 UEI393234 TUM393234 TKQ393234 TAU393234 SQY393234 SHC393234 RXG393234 RNK393234 RDO393234 QTS393234 QJW393234 QAA393234 PQE393234 PGI393234 OWM393234 OMQ393234 OCU393234 NSY393234 NJC393234 MZG393234 MPK393234 MFO393234 LVS393234 LLW393234 LCA393234 KSE393234 KII393234 JYM393234 JOQ393234 JEU393234 IUY393234 ILC393234 IBG393234 HRK393234 HHO393234 GXS393234 GNW393234 GEA393234 FUE393234 FKI393234 FAM393234 EQQ393234 EGU393234 DWY393234 DNC393234 DDG393234 CTK393234 CJO393234 BZS393234 BPW393234 BGA393234 AWE393234 AMI393234 ACM393234 SQ393234 IU393234 WVG327698 WLK327698 WBO327698 VRS327698 VHW327698 UYA327698 UOE327698 UEI327698 TUM327698 TKQ327698 TAU327698 SQY327698 SHC327698 RXG327698 RNK327698 RDO327698 QTS327698 QJW327698 QAA327698 PQE327698 PGI327698 OWM327698 OMQ327698 OCU327698 NSY327698 NJC327698 MZG327698 MPK327698 MFO327698 LVS327698 LLW327698 LCA327698 KSE327698 KII327698 JYM327698 JOQ327698 JEU327698 IUY327698 ILC327698 IBG327698 HRK327698 HHO327698 GXS327698 GNW327698 GEA327698 FUE327698 FKI327698 FAM327698 EQQ327698 EGU327698 DWY327698 DNC327698 DDG327698 CTK327698 CJO327698 BZS327698 BPW327698 BGA327698 AWE327698 AMI327698 ACM327698 SQ327698 IU327698 WVG262162 WLK262162 WBO262162 VRS262162 VHW262162 UYA262162 UOE262162 UEI262162 TUM262162 TKQ262162 TAU262162 SQY262162 SHC262162 RXG262162 RNK262162 RDO262162 QTS262162 QJW262162 QAA262162 PQE262162 PGI262162 OWM262162 OMQ262162 OCU262162 NSY262162 NJC262162 MZG262162 MPK262162 MFO262162 LVS262162 LLW262162 LCA262162 KSE262162 KII262162 JYM262162 JOQ262162 JEU262162 IUY262162 ILC262162 IBG262162 HRK262162 HHO262162 GXS262162 GNW262162 GEA262162 FUE262162 FKI262162 FAM262162 EQQ262162 EGU262162 DWY262162 DNC262162 DDG262162 CTK262162 CJO262162 BZS262162 BPW262162 BGA262162 AWE262162 AMI262162 ACM262162 SQ262162 IU262162 WVG196626 WLK196626 WBO196626 VRS196626 VHW196626 UYA196626 UOE196626 UEI196626 TUM196626 TKQ196626 TAU196626 SQY196626 SHC196626 RXG196626 RNK196626 RDO196626 QTS196626 QJW196626 QAA196626 PQE196626 PGI196626 OWM196626 OMQ196626 OCU196626 NSY196626 NJC196626 MZG196626 MPK196626 MFO196626 LVS196626 LLW196626 LCA196626 KSE196626 KII196626 JYM196626 JOQ196626 JEU196626 IUY196626 ILC196626 IBG196626 HRK196626 HHO196626 GXS196626 GNW196626 GEA196626 FUE196626 FKI196626 FAM196626 EQQ196626 EGU196626 DWY196626 DNC196626 DDG196626 CTK196626 CJO196626 BZS196626 BPW196626 BGA196626 AWE196626 AMI196626 ACM196626 SQ196626 IU196626 WVG131090 WLK131090 WBO131090 VRS131090 VHW131090 UYA131090 UOE131090 UEI131090 TUM131090 TKQ131090 TAU131090 SQY131090 SHC131090 RXG131090 RNK131090 RDO131090 QTS131090 QJW131090 QAA131090 PQE131090 PGI131090 OWM131090 OMQ131090 OCU131090 NSY131090 NJC131090 MZG131090 MPK131090 MFO131090 LVS131090 LLW131090 LCA131090 KSE131090 KII131090 JYM131090 JOQ131090 JEU131090 IUY131090 ILC131090 IBG131090 HRK131090 HHO131090 GXS131090 GNW131090 GEA131090 FUE131090 FKI131090 FAM131090 EQQ131090 EGU131090 DWY131090 DNC131090 DDG131090 CTK131090 CJO131090 BZS131090 BPW131090 BGA131090 AWE131090 AMI131090 ACM131090 SQ131090 IU131090 WVG65554 WLK65554 WBO65554 VRS65554 VHW65554 UYA65554 UOE65554 UEI65554 TUM65554 TKQ65554 TAU65554 SQY65554 SHC65554 RXG65554 RNK65554 RDO65554 QTS65554 QJW65554 QAA65554 PQE65554 PGI65554 OWM65554 OMQ65554 OCU65554 NSY65554 NJC65554 MZG65554 MPK65554 MFO65554 LVS65554 LLW65554 LCA65554 KSE65554 KII65554 JYM65554 JOQ65554 JEU65554 IUY65554 ILC65554 IBG65554 HRK65554 HHO65554 GXS65554 GNW65554 GEA65554 FUE65554 FKI65554 FAM65554 EQQ65554 EGU65554 DWY65554 DNC65554 DDG65554 CTK65554 CJO65554 BZS65554 BPW65554 BGA65554 AWE65554 AMI65554 ACM65554 SQ65554 IU65554 B65556:C65556 B131092:C131092 B196628:C196628 B262164:C262164 B327700:C327700 B393236:C393236 B458772:C458772 B524308:C524308 B589844:C589844 B655380:C655380 B720916:C720916 B786452:C786452 B851988:C851988 B917524:C917524" xr:uid="{00000000-0002-0000-0600-000004000000}">
      <formula1>0.001</formula1>
      <formula2>0.255</formula2>
    </dataValidation>
    <dataValidation type="list" allowBlank="1" showInputMessage="1" showErrorMessage="1" sqref="E3" xr:uid="{00000000-0002-0000-0600-000005000000}">
      <formula1>"White, Red, Gold, Blue, Purple, Magenta"</formula1>
    </dataValidation>
    <dataValidation type="date" operator="greaterThanOrEqual" allowBlank="1" showInputMessage="1" showErrorMessage="1" errorTitle="Bad date" error="The date you entered is not valid." sqref="E4" xr:uid="{00000000-0002-0000-0600-000006000000}">
      <formula1>1</formula1>
    </dataValidation>
  </dataValidations>
  <printOptions horizontalCentered="1" verticalCentered="1"/>
  <pageMargins left="0.25" right="0.25" top="0.75" bottom="0.75" header="0.3" footer="0.3"/>
  <pageSetup scale="45" orientation="landscape" r:id="rId1"/>
  <headerFooter alignWithMargins="0">
    <oddFooter>&amp;LF-0500-01-A      02-19-09</oddFooter>
  </headerFooter>
  <drawing r:id="rId2"/>
  <legacyDrawing r:id="rId3"/>
  <controls>
    <mc:AlternateContent xmlns:mc="http://schemas.openxmlformats.org/markup-compatibility/2006">
      <mc:Choice Requires="x14">
        <control shapeId="3299" r:id="rId4" name="CommandButton13">
          <controlPr defaultSize="0" autoFill="0" autoLine="0" r:id="rId5">
            <anchor moveWithCells="1">
              <from>
                <xdr:col>8</xdr:col>
                <xdr:colOff>50800</xdr:colOff>
                <xdr:row>29</xdr:row>
                <xdr:rowOff>50800</xdr:rowOff>
              </from>
              <to>
                <xdr:col>8</xdr:col>
                <xdr:colOff>241300</xdr:colOff>
                <xdr:row>30</xdr:row>
                <xdr:rowOff>12700</xdr:rowOff>
              </to>
            </anchor>
          </controlPr>
        </control>
      </mc:Choice>
      <mc:Fallback>
        <control shapeId="3299" r:id="rId4" name="CommandButton13"/>
      </mc:Fallback>
    </mc:AlternateContent>
    <mc:AlternateContent xmlns:mc="http://schemas.openxmlformats.org/markup-compatibility/2006">
      <mc:Choice Requires="x14">
        <control shapeId="3298" r:id="rId6" name="CheckBox32">
          <controlPr defaultSize="0" disabled="1" autoFill="0" autoLine="0" r:id="rId7">
            <anchor moveWithCells="1">
              <from>
                <xdr:col>9</xdr:col>
                <xdr:colOff>971550</xdr:colOff>
                <xdr:row>25</xdr:row>
                <xdr:rowOff>0</xdr:rowOff>
              </from>
              <to>
                <xdr:col>12</xdr:col>
                <xdr:colOff>203200</xdr:colOff>
                <xdr:row>26</xdr:row>
                <xdr:rowOff>25400</xdr:rowOff>
              </to>
            </anchor>
          </controlPr>
        </control>
      </mc:Choice>
      <mc:Fallback>
        <control shapeId="3298" r:id="rId6" name="CheckBox32"/>
      </mc:Fallback>
    </mc:AlternateContent>
    <mc:AlternateContent xmlns:mc="http://schemas.openxmlformats.org/markup-compatibility/2006">
      <mc:Choice Requires="x14">
        <control shapeId="3297" r:id="rId8" name="CheckBox31">
          <controlPr defaultSize="0" disabled="1" autoFill="0" autoLine="0" r:id="rId9">
            <anchor moveWithCells="1">
              <from>
                <xdr:col>9</xdr:col>
                <xdr:colOff>971550</xdr:colOff>
                <xdr:row>24</xdr:row>
                <xdr:rowOff>0</xdr:rowOff>
              </from>
              <to>
                <xdr:col>12</xdr:col>
                <xdr:colOff>203200</xdr:colOff>
                <xdr:row>25</xdr:row>
                <xdr:rowOff>25400</xdr:rowOff>
              </to>
            </anchor>
          </controlPr>
        </control>
      </mc:Choice>
      <mc:Fallback>
        <control shapeId="3297" r:id="rId8" name="CheckBox31"/>
      </mc:Fallback>
    </mc:AlternateContent>
    <mc:AlternateContent xmlns:mc="http://schemas.openxmlformats.org/markup-compatibility/2006">
      <mc:Choice Requires="x14">
        <control shapeId="3296" r:id="rId10" name="CheckBox30">
          <controlPr defaultSize="0" disabled="1" autoFill="0" autoLine="0" r:id="rId11">
            <anchor moveWithCells="1">
              <from>
                <xdr:col>9</xdr:col>
                <xdr:colOff>971550</xdr:colOff>
                <xdr:row>23</xdr:row>
                <xdr:rowOff>0</xdr:rowOff>
              </from>
              <to>
                <xdr:col>12</xdr:col>
                <xdr:colOff>203200</xdr:colOff>
                <xdr:row>24</xdr:row>
                <xdr:rowOff>25400</xdr:rowOff>
              </to>
            </anchor>
          </controlPr>
        </control>
      </mc:Choice>
      <mc:Fallback>
        <control shapeId="3296" r:id="rId10" name="CheckBox30"/>
      </mc:Fallback>
    </mc:AlternateContent>
    <mc:AlternateContent xmlns:mc="http://schemas.openxmlformats.org/markup-compatibility/2006">
      <mc:Choice Requires="x14">
        <control shapeId="3295" r:id="rId12" name="CommandButton41">
          <controlPr defaultSize="0" autoFill="0" autoLine="0" r:id="rId5">
            <anchor moveWithCells="1">
              <from>
                <xdr:col>8</xdr:col>
                <xdr:colOff>50800</xdr:colOff>
                <xdr:row>30</xdr:row>
                <xdr:rowOff>50800</xdr:rowOff>
              </from>
              <to>
                <xdr:col>8</xdr:col>
                <xdr:colOff>241300</xdr:colOff>
                <xdr:row>31</xdr:row>
                <xdr:rowOff>12700</xdr:rowOff>
              </to>
            </anchor>
          </controlPr>
        </control>
      </mc:Choice>
      <mc:Fallback>
        <control shapeId="3295" r:id="rId12" name="CommandButton41"/>
      </mc:Fallback>
    </mc:AlternateContent>
    <mc:AlternateContent xmlns:mc="http://schemas.openxmlformats.org/markup-compatibility/2006">
      <mc:Choice Requires="x14">
        <control shapeId="3293" r:id="rId13" name="CommandButton1">
          <controlPr defaultSize="0" print="0" autoLine="0" r:id="rId14">
            <anchor moveWithCells="1">
              <from>
                <xdr:col>8</xdr:col>
                <xdr:colOff>38100</xdr:colOff>
                <xdr:row>34</xdr:row>
                <xdr:rowOff>31750</xdr:rowOff>
              </from>
              <to>
                <xdr:col>8</xdr:col>
                <xdr:colOff>222250</xdr:colOff>
                <xdr:row>34</xdr:row>
                <xdr:rowOff>190500</xdr:rowOff>
              </to>
            </anchor>
          </controlPr>
        </control>
      </mc:Choice>
      <mc:Fallback>
        <control shapeId="3293" r:id="rId13" name="CommandButton1"/>
      </mc:Fallback>
    </mc:AlternateContent>
    <mc:AlternateContent xmlns:mc="http://schemas.openxmlformats.org/markup-compatibility/2006">
      <mc:Choice Requires="x14">
        <control shapeId="3285" r:id="rId15" name="CommandButton39">
          <controlPr defaultSize="0" print="0" autoLine="0" r:id="rId16">
            <anchor moveWithCells="1">
              <from>
                <xdr:col>0</xdr:col>
                <xdr:colOff>279400</xdr:colOff>
                <xdr:row>13</xdr:row>
                <xdr:rowOff>165100</xdr:rowOff>
              </from>
              <to>
                <xdr:col>1</xdr:col>
                <xdr:colOff>590550</xdr:colOff>
                <xdr:row>14</xdr:row>
                <xdr:rowOff>165100</xdr:rowOff>
              </to>
            </anchor>
          </controlPr>
        </control>
      </mc:Choice>
      <mc:Fallback>
        <control shapeId="3285" r:id="rId15" name="CommandButton39"/>
      </mc:Fallback>
    </mc:AlternateContent>
    <mc:AlternateContent xmlns:mc="http://schemas.openxmlformats.org/markup-compatibility/2006">
      <mc:Choice Requires="x14">
        <control shapeId="3282" r:id="rId17" name="CommandButton38">
          <controlPr defaultSize="0" print="0" autoLine="0" r:id="rId14">
            <anchor moveWithCells="1">
              <from>
                <xdr:col>6</xdr:col>
                <xdr:colOff>50800</xdr:colOff>
                <xdr:row>34</xdr:row>
                <xdr:rowOff>38100</xdr:rowOff>
              </from>
              <to>
                <xdr:col>6</xdr:col>
                <xdr:colOff>234950</xdr:colOff>
                <xdr:row>34</xdr:row>
                <xdr:rowOff>196850</xdr:rowOff>
              </to>
            </anchor>
          </controlPr>
        </control>
      </mc:Choice>
      <mc:Fallback>
        <control shapeId="3282" r:id="rId17" name="CommandButton38"/>
      </mc:Fallback>
    </mc:AlternateContent>
    <mc:AlternateContent xmlns:mc="http://schemas.openxmlformats.org/markup-compatibility/2006">
      <mc:Choice Requires="x14">
        <control shapeId="3281" r:id="rId18" name="CommandButton37">
          <controlPr defaultSize="0" print="0" autoLine="0" r:id="rId14">
            <anchor moveWithCells="1">
              <from>
                <xdr:col>3</xdr:col>
                <xdr:colOff>38100</xdr:colOff>
                <xdr:row>34</xdr:row>
                <xdr:rowOff>38100</xdr:rowOff>
              </from>
              <to>
                <xdr:col>3</xdr:col>
                <xdr:colOff>222250</xdr:colOff>
                <xdr:row>34</xdr:row>
                <xdr:rowOff>196850</xdr:rowOff>
              </to>
            </anchor>
          </controlPr>
        </control>
      </mc:Choice>
      <mc:Fallback>
        <control shapeId="3281" r:id="rId18" name="CommandButton37"/>
      </mc:Fallback>
    </mc:AlternateContent>
    <mc:AlternateContent xmlns:mc="http://schemas.openxmlformats.org/markup-compatibility/2006">
      <mc:Choice Requires="x14">
        <control shapeId="3280" r:id="rId19" name="CommandButton36">
          <controlPr defaultSize="0" print="0" autoLine="0" r:id="rId20">
            <anchor moveWithCells="1">
              <from>
                <xdr:col>0</xdr:col>
                <xdr:colOff>19050</xdr:colOff>
                <xdr:row>34</xdr:row>
                <xdr:rowOff>50800</xdr:rowOff>
              </from>
              <to>
                <xdr:col>0</xdr:col>
                <xdr:colOff>203200</xdr:colOff>
                <xdr:row>34</xdr:row>
                <xdr:rowOff>215900</xdr:rowOff>
              </to>
            </anchor>
          </controlPr>
        </control>
      </mc:Choice>
      <mc:Fallback>
        <control shapeId="3280" r:id="rId19" name="CommandButton36"/>
      </mc:Fallback>
    </mc:AlternateContent>
    <mc:AlternateContent xmlns:mc="http://schemas.openxmlformats.org/markup-compatibility/2006">
      <mc:Choice Requires="x14">
        <control shapeId="3279" r:id="rId21" name="CommandButton35">
          <controlPr defaultSize="0" autoLine="0" autoPict="0" r:id="rId22">
            <anchor moveWithCells="1">
              <from>
                <xdr:col>12</xdr:col>
                <xdr:colOff>184150</xdr:colOff>
                <xdr:row>0</xdr:row>
                <xdr:rowOff>266700</xdr:rowOff>
              </from>
              <to>
                <xdr:col>12</xdr:col>
                <xdr:colOff>927100</xdr:colOff>
                <xdr:row>0</xdr:row>
                <xdr:rowOff>571500</xdr:rowOff>
              </to>
            </anchor>
          </controlPr>
        </control>
      </mc:Choice>
      <mc:Fallback>
        <control shapeId="3279" r:id="rId21" name="CommandButton35"/>
      </mc:Fallback>
    </mc:AlternateContent>
    <mc:AlternateContent xmlns:mc="http://schemas.openxmlformats.org/markup-compatibility/2006">
      <mc:Choice Requires="x14">
        <control shapeId="3276" r:id="rId23" name="TextBox24">
          <controlPr defaultSize="0" disabled="1" autoLine="0" r:id="rId24">
            <anchor moveWithCells="1">
              <from>
                <xdr:col>10</xdr:col>
                <xdr:colOff>952500</xdr:colOff>
                <xdr:row>4</xdr:row>
                <xdr:rowOff>38100</xdr:rowOff>
              </from>
              <to>
                <xdr:col>11</xdr:col>
                <xdr:colOff>476250</xdr:colOff>
                <xdr:row>5</xdr:row>
                <xdr:rowOff>38100</xdr:rowOff>
              </to>
            </anchor>
          </controlPr>
        </control>
      </mc:Choice>
      <mc:Fallback>
        <control shapeId="3276" r:id="rId23" name="TextBox24"/>
      </mc:Fallback>
    </mc:AlternateContent>
    <mc:AlternateContent xmlns:mc="http://schemas.openxmlformats.org/markup-compatibility/2006">
      <mc:Choice Requires="x14">
        <control shapeId="3275" r:id="rId25" name="Label18">
          <controlPr defaultSize="0" disabled="1" autoLine="0" r:id="rId26">
            <anchor moveWithCells="1">
              <from>
                <xdr:col>10</xdr:col>
                <xdr:colOff>228600</xdr:colOff>
                <xdr:row>4</xdr:row>
                <xdr:rowOff>57150</xdr:rowOff>
              </from>
              <to>
                <xdr:col>10</xdr:col>
                <xdr:colOff>971550</xdr:colOff>
                <xdr:row>5</xdr:row>
                <xdr:rowOff>12700</xdr:rowOff>
              </to>
            </anchor>
          </controlPr>
        </control>
      </mc:Choice>
      <mc:Fallback>
        <control shapeId="3275" r:id="rId25" name="Label18"/>
      </mc:Fallback>
    </mc:AlternateContent>
    <mc:AlternateContent xmlns:mc="http://schemas.openxmlformats.org/markup-compatibility/2006">
      <mc:Choice Requires="x14">
        <control shapeId="3274" r:id="rId27" name="TextBox23">
          <controlPr defaultSize="0" disabled="1" autoLine="0" r:id="rId28">
            <anchor moveWithCells="1">
              <from>
                <xdr:col>11</xdr:col>
                <xdr:colOff>57150</xdr:colOff>
                <xdr:row>2</xdr:row>
                <xdr:rowOff>19050</xdr:rowOff>
              </from>
              <to>
                <xdr:col>11</xdr:col>
                <xdr:colOff>596900</xdr:colOff>
                <xdr:row>3</xdr:row>
                <xdr:rowOff>0</xdr:rowOff>
              </to>
            </anchor>
          </controlPr>
        </control>
      </mc:Choice>
      <mc:Fallback>
        <control shapeId="3274" r:id="rId27" name="TextBox23"/>
      </mc:Fallback>
    </mc:AlternateContent>
    <mc:AlternateContent xmlns:mc="http://schemas.openxmlformats.org/markup-compatibility/2006">
      <mc:Choice Requires="x14">
        <control shapeId="3273" r:id="rId29" name="Label17">
          <controlPr defaultSize="0" disabled="1" autoLine="0" autoPict="0" r:id="rId30">
            <anchor moveWithCells="1">
              <from>
                <xdr:col>10</xdr:col>
                <xdr:colOff>266700</xdr:colOff>
                <xdr:row>2</xdr:row>
                <xdr:rowOff>50800</xdr:rowOff>
              </from>
              <to>
                <xdr:col>10</xdr:col>
                <xdr:colOff>1009650</xdr:colOff>
                <xdr:row>3</xdr:row>
                <xdr:rowOff>0</xdr:rowOff>
              </to>
            </anchor>
          </controlPr>
        </control>
      </mc:Choice>
      <mc:Fallback>
        <control shapeId="3273" r:id="rId29" name="Label17"/>
      </mc:Fallback>
    </mc:AlternateContent>
    <mc:AlternateContent xmlns:mc="http://schemas.openxmlformats.org/markup-compatibility/2006">
      <mc:Choice Requires="x14">
        <control shapeId="3272" r:id="rId31" name="CommandButton33">
          <controlPr defaultSize="0" autoLine="0" autoPict="0" r:id="rId32">
            <anchor moveWithCells="1">
              <from>
                <xdr:col>9</xdr:col>
                <xdr:colOff>546100</xdr:colOff>
                <xdr:row>0</xdr:row>
                <xdr:rowOff>266700</xdr:rowOff>
              </from>
              <to>
                <xdr:col>10</xdr:col>
                <xdr:colOff>285750</xdr:colOff>
                <xdr:row>0</xdr:row>
                <xdr:rowOff>571500</xdr:rowOff>
              </to>
            </anchor>
          </controlPr>
        </control>
      </mc:Choice>
      <mc:Fallback>
        <control shapeId="3272" r:id="rId31" name="CommandButton33"/>
      </mc:Fallback>
    </mc:AlternateContent>
    <mc:AlternateContent xmlns:mc="http://schemas.openxmlformats.org/markup-compatibility/2006">
      <mc:Choice Requires="x14">
        <control shapeId="3270" r:id="rId33" name="CommandButton31">
          <controlPr defaultSize="0" autoLine="0" autoPict="0" r:id="rId34">
            <anchor moveWithCells="1">
              <from>
                <xdr:col>10</xdr:col>
                <xdr:colOff>304800</xdr:colOff>
                <xdr:row>0</xdr:row>
                <xdr:rowOff>266700</xdr:rowOff>
              </from>
              <to>
                <xdr:col>11</xdr:col>
                <xdr:colOff>76200</xdr:colOff>
                <xdr:row>0</xdr:row>
                <xdr:rowOff>571500</xdr:rowOff>
              </to>
            </anchor>
          </controlPr>
        </control>
      </mc:Choice>
      <mc:Fallback>
        <control shapeId="3270" r:id="rId33" name="CommandButton31"/>
      </mc:Fallback>
    </mc:AlternateContent>
    <mc:AlternateContent xmlns:mc="http://schemas.openxmlformats.org/markup-compatibility/2006">
      <mc:Choice Requires="x14">
        <control shapeId="3265" r:id="rId35" name="CommandButton29">
          <controlPr defaultSize="0" autoLine="0" autoPict="0" r:id="rId36">
            <anchor moveWithCells="1">
              <from>
                <xdr:col>8</xdr:col>
                <xdr:colOff>127000</xdr:colOff>
                <xdr:row>0</xdr:row>
                <xdr:rowOff>266700</xdr:rowOff>
              </from>
              <to>
                <xdr:col>9</xdr:col>
                <xdr:colOff>514350</xdr:colOff>
                <xdr:row>0</xdr:row>
                <xdr:rowOff>571500</xdr:rowOff>
              </to>
            </anchor>
          </controlPr>
        </control>
      </mc:Choice>
      <mc:Fallback>
        <control shapeId="3265" r:id="rId35" name="CommandButton29"/>
      </mc:Fallback>
    </mc:AlternateContent>
    <mc:AlternateContent xmlns:mc="http://schemas.openxmlformats.org/markup-compatibility/2006">
      <mc:Choice Requires="x14">
        <control shapeId="3248" r:id="rId37" name="CheckBox12">
          <controlPr defaultSize="0" disabled="1" autoFill="0" autoLine="0" r:id="rId38">
            <anchor moveWithCells="1">
              <from>
                <xdr:col>10</xdr:col>
                <xdr:colOff>184150</xdr:colOff>
                <xdr:row>12</xdr:row>
                <xdr:rowOff>222250</xdr:rowOff>
              </from>
              <to>
                <xdr:col>11</xdr:col>
                <xdr:colOff>285750</xdr:colOff>
                <xdr:row>14</xdr:row>
                <xdr:rowOff>0</xdr:rowOff>
              </to>
            </anchor>
          </controlPr>
        </control>
      </mc:Choice>
      <mc:Fallback>
        <control shapeId="3248" r:id="rId37" name="CheckBox12"/>
      </mc:Fallback>
    </mc:AlternateContent>
    <mc:AlternateContent xmlns:mc="http://schemas.openxmlformats.org/markup-compatibility/2006">
      <mc:Choice Requires="x14">
        <control shapeId="3247" r:id="rId39" name="CheckBox11">
          <controlPr defaultSize="0" disabled="1" autoFill="0" autoLine="0" r:id="rId40">
            <anchor moveWithCells="1">
              <from>
                <xdr:col>9</xdr:col>
                <xdr:colOff>266700</xdr:colOff>
                <xdr:row>12</xdr:row>
                <xdr:rowOff>222250</xdr:rowOff>
              </from>
              <to>
                <xdr:col>10</xdr:col>
                <xdr:colOff>82550</xdr:colOff>
                <xdr:row>14</xdr:row>
                <xdr:rowOff>0</xdr:rowOff>
              </to>
            </anchor>
          </controlPr>
        </control>
      </mc:Choice>
      <mc:Fallback>
        <control shapeId="3247" r:id="rId39" name="CheckBox11"/>
      </mc:Fallback>
    </mc:AlternateContent>
    <mc:AlternateContent xmlns:mc="http://schemas.openxmlformats.org/markup-compatibility/2006">
      <mc:Choice Requires="x14">
        <control shapeId="3246" r:id="rId41" name="CheckBox10">
          <controlPr defaultSize="0" disabled="1" autoFill="0" autoLine="0" autoPict="0" r:id="rId42">
            <anchor moveWithCells="1">
              <from>
                <xdr:col>9</xdr:col>
                <xdr:colOff>876300</xdr:colOff>
                <xdr:row>10</xdr:row>
                <xdr:rowOff>222250</xdr:rowOff>
              </from>
              <to>
                <xdr:col>10</xdr:col>
                <xdr:colOff>1009650</xdr:colOff>
                <xdr:row>12</xdr:row>
                <xdr:rowOff>19050</xdr:rowOff>
              </to>
            </anchor>
          </controlPr>
        </control>
      </mc:Choice>
      <mc:Fallback>
        <control shapeId="3246" r:id="rId41" name="CheckBox10"/>
      </mc:Fallback>
    </mc:AlternateContent>
    <mc:AlternateContent xmlns:mc="http://schemas.openxmlformats.org/markup-compatibility/2006">
      <mc:Choice Requires="x14">
        <control shapeId="3245" r:id="rId43" name="CheckBox9">
          <controlPr defaultSize="0" disabled="1" autoFill="0" autoLine="0" autoPict="0" r:id="rId44">
            <anchor moveWithCells="1">
              <from>
                <xdr:col>10</xdr:col>
                <xdr:colOff>812800</xdr:colOff>
                <xdr:row>8</xdr:row>
                <xdr:rowOff>222250</xdr:rowOff>
              </from>
              <to>
                <xdr:col>11</xdr:col>
                <xdr:colOff>914400</xdr:colOff>
                <xdr:row>10</xdr:row>
                <xdr:rowOff>19050</xdr:rowOff>
              </to>
            </anchor>
          </controlPr>
        </control>
      </mc:Choice>
      <mc:Fallback>
        <control shapeId="3245" r:id="rId43" name="CheckBox9"/>
      </mc:Fallback>
    </mc:AlternateContent>
    <mc:AlternateContent xmlns:mc="http://schemas.openxmlformats.org/markup-compatibility/2006">
      <mc:Choice Requires="x14">
        <control shapeId="3244" r:id="rId45" name="CheckBox8">
          <controlPr defaultSize="0" disabled="1" autoFill="0" autoLine="0" r:id="rId46">
            <anchor moveWithCells="1">
              <from>
                <xdr:col>9</xdr:col>
                <xdr:colOff>965200</xdr:colOff>
                <xdr:row>8</xdr:row>
                <xdr:rowOff>222250</xdr:rowOff>
              </from>
              <to>
                <xdr:col>10</xdr:col>
                <xdr:colOff>723900</xdr:colOff>
                <xdr:row>10</xdr:row>
                <xdr:rowOff>19050</xdr:rowOff>
              </to>
            </anchor>
          </controlPr>
        </control>
      </mc:Choice>
      <mc:Fallback>
        <control shapeId="3244" r:id="rId45" name="CheckBox8"/>
      </mc:Fallback>
    </mc:AlternateContent>
    <mc:AlternateContent xmlns:mc="http://schemas.openxmlformats.org/markup-compatibility/2006">
      <mc:Choice Requires="x14">
        <control shapeId="3243" r:id="rId47" name="CheckBox7">
          <controlPr defaultSize="0" disabled="1" autoFill="0" autoLine="0" autoPict="0" r:id="rId48">
            <anchor moveWithCells="1">
              <from>
                <xdr:col>9</xdr:col>
                <xdr:colOff>698500</xdr:colOff>
                <xdr:row>7</xdr:row>
                <xdr:rowOff>12700</xdr:rowOff>
              </from>
              <to>
                <xdr:col>10</xdr:col>
                <xdr:colOff>527050</xdr:colOff>
                <xdr:row>8</xdr:row>
                <xdr:rowOff>38100</xdr:rowOff>
              </to>
            </anchor>
          </controlPr>
        </control>
      </mc:Choice>
      <mc:Fallback>
        <control shapeId="3243" r:id="rId47" name="CheckBox7"/>
      </mc:Fallback>
    </mc:AlternateContent>
    <mc:AlternateContent xmlns:mc="http://schemas.openxmlformats.org/markup-compatibility/2006">
      <mc:Choice Requires="x14">
        <control shapeId="3242" r:id="rId49" name="CheckBox6">
          <controlPr defaultSize="0" disabled="1" autoFill="0" autoLine="0" autoPict="0" r:id="rId50">
            <anchor moveWithCells="1">
              <from>
                <xdr:col>10</xdr:col>
                <xdr:colOff>603250</xdr:colOff>
                <xdr:row>7</xdr:row>
                <xdr:rowOff>12700</xdr:rowOff>
              </from>
              <to>
                <xdr:col>11</xdr:col>
                <xdr:colOff>565150</xdr:colOff>
                <xdr:row>8</xdr:row>
                <xdr:rowOff>38100</xdr:rowOff>
              </to>
            </anchor>
          </controlPr>
        </control>
      </mc:Choice>
      <mc:Fallback>
        <control shapeId="3242" r:id="rId49" name="CheckBox6"/>
      </mc:Fallback>
    </mc:AlternateContent>
    <mc:AlternateContent xmlns:mc="http://schemas.openxmlformats.org/markup-compatibility/2006">
      <mc:Choice Requires="x14">
        <control shapeId="3241" r:id="rId51" name="CheckBox5">
          <controlPr defaultSize="0" disabled="1" autoFill="0" autoLine="0" r:id="rId52">
            <anchor moveWithCells="1">
              <from>
                <xdr:col>11</xdr:col>
                <xdr:colOff>508000</xdr:colOff>
                <xdr:row>5</xdr:row>
                <xdr:rowOff>12700</xdr:rowOff>
              </from>
              <to>
                <xdr:col>12</xdr:col>
                <xdr:colOff>622300</xdr:colOff>
                <xdr:row>6</xdr:row>
                <xdr:rowOff>38100</xdr:rowOff>
              </to>
            </anchor>
          </controlPr>
        </control>
      </mc:Choice>
      <mc:Fallback>
        <control shapeId="3241" r:id="rId51" name="CheckBox5"/>
      </mc:Fallback>
    </mc:AlternateContent>
    <mc:AlternateContent xmlns:mc="http://schemas.openxmlformats.org/markup-compatibility/2006">
      <mc:Choice Requires="x14">
        <control shapeId="3240" r:id="rId53" name="CheckBox4">
          <controlPr defaultSize="0" disabled="1" autoFill="0" autoLine="0" r:id="rId54">
            <anchor moveWithCells="1">
              <from>
                <xdr:col>10</xdr:col>
                <xdr:colOff>247650</xdr:colOff>
                <xdr:row>5</xdr:row>
                <xdr:rowOff>12700</xdr:rowOff>
              </from>
              <to>
                <xdr:col>11</xdr:col>
                <xdr:colOff>330200</xdr:colOff>
                <xdr:row>6</xdr:row>
                <xdr:rowOff>38100</xdr:rowOff>
              </to>
            </anchor>
          </controlPr>
        </control>
      </mc:Choice>
      <mc:Fallback>
        <control shapeId="3240" r:id="rId53" name="CheckBox4"/>
      </mc:Fallback>
    </mc:AlternateContent>
    <mc:AlternateContent xmlns:mc="http://schemas.openxmlformats.org/markup-compatibility/2006">
      <mc:Choice Requires="x14">
        <control shapeId="3239" r:id="rId55" name="CheckBox3">
          <controlPr defaultSize="0" disabled="1" autoFill="0" autoLine="0" autoPict="0" r:id="rId56">
            <anchor moveWithCells="1">
              <from>
                <xdr:col>9</xdr:col>
                <xdr:colOff>571500</xdr:colOff>
                <xdr:row>5</xdr:row>
                <xdr:rowOff>12700</xdr:rowOff>
              </from>
              <to>
                <xdr:col>10</xdr:col>
                <xdr:colOff>184150</xdr:colOff>
                <xdr:row>6</xdr:row>
                <xdr:rowOff>38100</xdr:rowOff>
              </to>
            </anchor>
          </controlPr>
        </control>
      </mc:Choice>
      <mc:Fallback>
        <control shapeId="3239" r:id="rId55" name="CheckBox3"/>
      </mc:Fallback>
    </mc:AlternateContent>
    <mc:AlternateContent xmlns:mc="http://schemas.openxmlformats.org/markup-compatibility/2006">
      <mc:Choice Requires="x14">
        <control shapeId="3238" r:id="rId57" name="CheckBox2">
          <controlPr defaultSize="0" disabled="1" autoFill="0" autoLine="0" r:id="rId58">
            <anchor moveWithCells="1">
              <from>
                <xdr:col>11</xdr:col>
                <xdr:colOff>660400</xdr:colOff>
                <xdr:row>4</xdr:row>
                <xdr:rowOff>19050</xdr:rowOff>
              </from>
              <to>
                <xdr:col>12</xdr:col>
                <xdr:colOff>774700</xdr:colOff>
                <xdr:row>5</xdr:row>
                <xdr:rowOff>44450</xdr:rowOff>
              </to>
            </anchor>
          </controlPr>
        </control>
      </mc:Choice>
      <mc:Fallback>
        <control shapeId="3238" r:id="rId57" name="CheckBox2"/>
      </mc:Fallback>
    </mc:AlternateContent>
    <mc:AlternateContent xmlns:mc="http://schemas.openxmlformats.org/markup-compatibility/2006">
      <mc:Choice Requires="x14">
        <control shapeId="3237" r:id="rId59" name="CommandButton28">
          <controlPr defaultSize="0" autoFill="0" autoLine="0" r:id="rId5">
            <anchor moveWithCells="1">
              <from>
                <xdr:col>8</xdr:col>
                <xdr:colOff>50800</xdr:colOff>
                <xdr:row>28</xdr:row>
                <xdr:rowOff>50800</xdr:rowOff>
              </from>
              <to>
                <xdr:col>8</xdr:col>
                <xdr:colOff>241300</xdr:colOff>
                <xdr:row>29</xdr:row>
                <xdr:rowOff>12700</xdr:rowOff>
              </to>
            </anchor>
          </controlPr>
        </control>
      </mc:Choice>
      <mc:Fallback>
        <control shapeId="3237" r:id="rId59" name="CommandButton28"/>
      </mc:Fallback>
    </mc:AlternateContent>
    <mc:AlternateContent xmlns:mc="http://schemas.openxmlformats.org/markup-compatibility/2006">
      <mc:Choice Requires="x14">
        <control shapeId="3236" r:id="rId60" name="CommandButton27">
          <controlPr defaultSize="0" autoFill="0" autoLine="0" r:id="rId5">
            <anchor moveWithCells="1">
              <from>
                <xdr:col>8</xdr:col>
                <xdr:colOff>50800</xdr:colOff>
                <xdr:row>27</xdr:row>
                <xdr:rowOff>50800</xdr:rowOff>
              </from>
              <to>
                <xdr:col>8</xdr:col>
                <xdr:colOff>241300</xdr:colOff>
                <xdr:row>28</xdr:row>
                <xdr:rowOff>12700</xdr:rowOff>
              </to>
            </anchor>
          </controlPr>
        </control>
      </mc:Choice>
      <mc:Fallback>
        <control shapeId="3236" r:id="rId60" name="CommandButton27"/>
      </mc:Fallback>
    </mc:AlternateContent>
    <mc:AlternateContent xmlns:mc="http://schemas.openxmlformats.org/markup-compatibility/2006">
      <mc:Choice Requires="x14">
        <control shapeId="3235" r:id="rId61" name="CommandButton26">
          <controlPr defaultSize="0" autoFill="0" autoLine="0" r:id="rId5">
            <anchor moveWithCells="1">
              <from>
                <xdr:col>8</xdr:col>
                <xdr:colOff>50800</xdr:colOff>
                <xdr:row>26</xdr:row>
                <xdr:rowOff>50800</xdr:rowOff>
              </from>
              <to>
                <xdr:col>8</xdr:col>
                <xdr:colOff>241300</xdr:colOff>
                <xdr:row>27</xdr:row>
                <xdr:rowOff>12700</xdr:rowOff>
              </to>
            </anchor>
          </controlPr>
        </control>
      </mc:Choice>
      <mc:Fallback>
        <control shapeId="3235" r:id="rId61" name="CommandButton26"/>
      </mc:Fallback>
    </mc:AlternateContent>
    <mc:AlternateContent xmlns:mc="http://schemas.openxmlformats.org/markup-compatibility/2006">
      <mc:Choice Requires="x14">
        <control shapeId="3234" r:id="rId62" name="CommandButton25">
          <controlPr defaultSize="0" autoFill="0" autoLine="0" r:id="rId5">
            <anchor moveWithCells="1">
              <from>
                <xdr:col>8</xdr:col>
                <xdr:colOff>50800</xdr:colOff>
                <xdr:row>25</xdr:row>
                <xdr:rowOff>50800</xdr:rowOff>
              </from>
              <to>
                <xdr:col>8</xdr:col>
                <xdr:colOff>241300</xdr:colOff>
                <xdr:row>26</xdr:row>
                <xdr:rowOff>12700</xdr:rowOff>
              </to>
            </anchor>
          </controlPr>
        </control>
      </mc:Choice>
      <mc:Fallback>
        <control shapeId="3234" r:id="rId62" name="CommandButton25"/>
      </mc:Fallback>
    </mc:AlternateContent>
    <mc:AlternateContent xmlns:mc="http://schemas.openxmlformats.org/markup-compatibility/2006">
      <mc:Choice Requires="x14">
        <control shapeId="3233" r:id="rId63" name="CommandButton24">
          <controlPr defaultSize="0" autoFill="0" autoLine="0" r:id="rId5">
            <anchor moveWithCells="1">
              <from>
                <xdr:col>8</xdr:col>
                <xdr:colOff>50800</xdr:colOff>
                <xdr:row>24</xdr:row>
                <xdr:rowOff>50800</xdr:rowOff>
              </from>
              <to>
                <xdr:col>8</xdr:col>
                <xdr:colOff>241300</xdr:colOff>
                <xdr:row>25</xdr:row>
                <xdr:rowOff>12700</xdr:rowOff>
              </to>
            </anchor>
          </controlPr>
        </control>
      </mc:Choice>
      <mc:Fallback>
        <control shapeId="3233" r:id="rId63" name="CommandButton24"/>
      </mc:Fallback>
    </mc:AlternateContent>
    <mc:AlternateContent xmlns:mc="http://schemas.openxmlformats.org/markup-compatibility/2006">
      <mc:Choice Requires="x14">
        <control shapeId="3232" r:id="rId64" name="CommandButton23">
          <controlPr defaultSize="0" autoFill="0" autoLine="0" r:id="rId5">
            <anchor moveWithCells="1">
              <from>
                <xdr:col>8</xdr:col>
                <xdr:colOff>50800</xdr:colOff>
                <xdr:row>23</xdr:row>
                <xdr:rowOff>50800</xdr:rowOff>
              </from>
              <to>
                <xdr:col>8</xdr:col>
                <xdr:colOff>241300</xdr:colOff>
                <xdr:row>24</xdr:row>
                <xdr:rowOff>12700</xdr:rowOff>
              </to>
            </anchor>
          </controlPr>
        </control>
      </mc:Choice>
      <mc:Fallback>
        <control shapeId="3232" r:id="rId64" name="CommandButton23"/>
      </mc:Fallback>
    </mc:AlternateContent>
    <mc:AlternateContent xmlns:mc="http://schemas.openxmlformats.org/markup-compatibility/2006">
      <mc:Choice Requires="x14">
        <control shapeId="3231" r:id="rId65" name="CommandButton22">
          <controlPr defaultSize="0" autoFill="0" autoLine="0" r:id="rId5">
            <anchor moveWithCells="1">
              <from>
                <xdr:col>8</xdr:col>
                <xdr:colOff>50800</xdr:colOff>
                <xdr:row>22</xdr:row>
                <xdr:rowOff>50800</xdr:rowOff>
              </from>
              <to>
                <xdr:col>8</xdr:col>
                <xdr:colOff>241300</xdr:colOff>
                <xdr:row>23</xdr:row>
                <xdr:rowOff>12700</xdr:rowOff>
              </to>
            </anchor>
          </controlPr>
        </control>
      </mc:Choice>
      <mc:Fallback>
        <control shapeId="3231" r:id="rId65" name="CommandButton22"/>
      </mc:Fallback>
    </mc:AlternateContent>
    <mc:AlternateContent xmlns:mc="http://schemas.openxmlformats.org/markup-compatibility/2006">
      <mc:Choice Requires="x14">
        <control shapeId="3230" r:id="rId66" name="CommandButton21">
          <controlPr defaultSize="0" autoFill="0" autoLine="0" r:id="rId5">
            <anchor moveWithCells="1">
              <from>
                <xdr:col>8</xdr:col>
                <xdr:colOff>50800</xdr:colOff>
                <xdr:row>21</xdr:row>
                <xdr:rowOff>50800</xdr:rowOff>
              </from>
              <to>
                <xdr:col>8</xdr:col>
                <xdr:colOff>241300</xdr:colOff>
                <xdr:row>22</xdr:row>
                <xdr:rowOff>12700</xdr:rowOff>
              </to>
            </anchor>
          </controlPr>
        </control>
      </mc:Choice>
      <mc:Fallback>
        <control shapeId="3230" r:id="rId66" name="CommandButton21"/>
      </mc:Fallback>
    </mc:AlternateContent>
    <mc:AlternateContent xmlns:mc="http://schemas.openxmlformats.org/markup-compatibility/2006">
      <mc:Choice Requires="x14">
        <control shapeId="3229" r:id="rId67" name="CommandButton20">
          <controlPr defaultSize="0" autoFill="0" autoLine="0" r:id="rId5">
            <anchor moveWithCells="1">
              <from>
                <xdr:col>8</xdr:col>
                <xdr:colOff>50800</xdr:colOff>
                <xdr:row>20</xdr:row>
                <xdr:rowOff>50800</xdr:rowOff>
              </from>
              <to>
                <xdr:col>8</xdr:col>
                <xdr:colOff>241300</xdr:colOff>
                <xdr:row>21</xdr:row>
                <xdr:rowOff>12700</xdr:rowOff>
              </to>
            </anchor>
          </controlPr>
        </control>
      </mc:Choice>
      <mc:Fallback>
        <control shapeId="3229" r:id="rId67" name="CommandButton20"/>
      </mc:Fallback>
    </mc:AlternateContent>
    <mc:AlternateContent xmlns:mc="http://schemas.openxmlformats.org/markup-compatibility/2006">
      <mc:Choice Requires="x14">
        <control shapeId="3228" r:id="rId68" name="CommandButton19">
          <controlPr defaultSize="0" autoFill="0" autoLine="0" r:id="rId5">
            <anchor moveWithCells="1">
              <from>
                <xdr:col>8</xdr:col>
                <xdr:colOff>50800</xdr:colOff>
                <xdr:row>19</xdr:row>
                <xdr:rowOff>50800</xdr:rowOff>
              </from>
              <to>
                <xdr:col>8</xdr:col>
                <xdr:colOff>241300</xdr:colOff>
                <xdr:row>20</xdr:row>
                <xdr:rowOff>12700</xdr:rowOff>
              </to>
            </anchor>
          </controlPr>
        </control>
      </mc:Choice>
      <mc:Fallback>
        <control shapeId="3228" r:id="rId68" name="CommandButton19"/>
      </mc:Fallback>
    </mc:AlternateContent>
    <mc:AlternateContent xmlns:mc="http://schemas.openxmlformats.org/markup-compatibility/2006">
      <mc:Choice Requires="x14">
        <control shapeId="3227" r:id="rId69" name="CommandButton18">
          <controlPr defaultSize="0" autoFill="0" autoLine="0" r:id="rId5">
            <anchor moveWithCells="1">
              <from>
                <xdr:col>8</xdr:col>
                <xdr:colOff>50800</xdr:colOff>
                <xdr:row>18</xdr:row>
                <xdr:rowOff>50800</xdr:rowOff>
              </from>
              <to>
                <xdr:col>8</xdr:col>
                <xdr:colOff>241300</xdr:colOff>
                <xdr:row>19</xdr:row>
                <xdr:rowOff>12700</xdr:rowOff>
              </to>
            </anchor>
          </controlPr>
        </control>
      </mc:Choice>
      <mc:Fallback>
        <control shapeId="3227" r:id="rId69" name="CommandButton18"/>
      </mc:Fallback>
    </mc:AlternateContent>
    <mc:AlternateContent xmlns:mc="http://schemas.openxmlformats.org/markup-compatibility/2006">
      <mc:Choice Requires="x14">
        <control shapeId="3226" r:id="rId70" name="CommandButton17">
          <controlPr defaultSize="0" autoFill="0" autoLine="0" r:id="rId5">
            <anchor moveWithCells="1">
              <from>
                <xdr:col>8</xdr:col>
                <xdr:colOff>50800</xdr:colOff>
                <xdr:row>17</xdr:row>
                <xdr:rowOff>50800</xdr:rowOff>
              </from>
              <to>
                <xdr:col>8</xdr:col>
                <xdr:colOff>241300</xdr:colOff>
                <xdr:row>18</xdr:row>
                <xdr:rowOff>12700</xdr:rowOff>
              </to>
            </anchor>
          </controlPr>
        </control>
      </mc:Choice>
      <mc:Fallback>
        <control shapeId="3226" r:id="rId70" name="CommandButton17"/>
      </mc:Fallback>
    </mc:AlternateContent>
    <mc:AlternateContent xmlns:mc="http://schemas.openxmlformats.org/markup-compatibility/2006">
      <mc:Choice Requires="x14">
        <control shapeId="3225" r:id="rId71" name="CommandButton16">
          <controlPr defaultSize="0" autoFill="0" autoLine="0" r:id="rId5">
            <anchor moveWithCells="1">
              <from>
                <xdr:col>8</xdr:col>
                <xdr:colOff>50800</xdr:colOff>
                <xdr:row>16</xdr:row>
                <xdr:rowOff>50800</xdr:rowOff>
              </from>
              <to>
                <xdr:col>8</xdr:col>
                <xdr:colOff>241300</xdr:colOff>
                <xdr:row>17</xdr:row>
                <xdr:rowOff>12700</xdr:rowOff>
              </to>
            </anchor>
          </controlPr>
        </control>
      </mc:Choice>
      <mc:Fallback>
        <control shapeId="3225" r:id="rId71" name="CommandButton16"/>
      </mc:Fallback>
    </mc:AlternateContent>
    <mc:AlternateContent xmlns:mc="http://schemas.openxmlformats.org/markup-compatibility/2006">
      <mc:Choice Requires="x14">
        <control shapeId="3224" r:id="rId72" name="CommandButton15">
          <controlPr defaultSize="0" autoFill="0" autoLine="0" r:id="rId5">
            <anchor moveWithCells="1">
              <from>
                <xdr:col>8</xdr:col>
                <xdr:colOff>50800</xdr:colOff>
                <xdr:row>15</xdr:row>
                <xdr:rowOff>19050</xdr:rowOff>
              </from>
              <to>
                <xdr:col>8</xdr:col>
                <xdr:colOff>241300</xdr:colOff>
                <xdr:row>15</xdr:row>
                <xdr:rowOff>209550</xdr:rowOff>
              </to>
            </anchor>
          </controlPr>
        </control>
      </mc:Choice>
      <mc:Fallback>
        <control shapeId="3224" r:id="rId72" name="CommandButton15"/>
      </mc:Fallback>
    </mc:AlternateContent>
    <mc:AlternateContent xmlns:mc="http://schemas.openxmlformats.org/markup-compatibility/2006">
      <mc:Choice Requires="x14">
        <control shapeId="3223" r:id="rId73" name="CommandButton14">
          <controlPr defaultSize="0" autoFill="0" autoLine="0" r:id="rId5">
            <anchor moveWithCells="1">
              <from>
                <xdr:col>8</xdr:col>
                <xdr:colOff>50800</xdr:colOff>
                <xdr:row>14</xdr:row>
                <xdr:rowOff>19050</xdr:rowOff>
              </from>
              <to>
                <xdr:col>8</xdr:col>
                <xdr:colOff>241300</xdr:colOff>
                <xdr:row>14</xdr:row>
                <xdr:rowOff>209550</xdr:rowOff>
              </to>
            </anchor>
          </controlPr>
        </control>
      </mc:Choice>
      <mc:Fallback>
        <control shapeId="3223" r:id="rId73" name="CommandButton14"/>
      </mc:Fallback>
    </mc:AlternateContent>
    <mc:AlternateContent xmlns:mc="http://schemas.openxmlformats.org/markup-compatibility/2006">
      <mc:Choice Requires="x14">
        <control shapeId="3221" r:id="rId74" name="CommandButton12">
          <controlPr defaultSize="0" autoFill="0" autoLine="0" r:id="rId5">
            <anchor moveWithCells="1">
              <from>
                <xdr:col>8</xdr:col>
                <xdr:colOff>50800</xdr:colOff>
                <xdr:row>12</xdr:row>
                <xdr:rowOff>50800</xdr:rowOff>
              </from>
              <to>
                <xdr:col>8</xdr:col>
                <xdr:colOff>241300</xdr:colOff>
                <xdr:row>13</xdr:row>
                <xdr:rowOff>12700</xdr:rowOff>
              </to>
            </anchor>
          </controlPr>
        </control>
      </mc:Choice>
      <mc:Fallback>
        <control shapeId="3221" r:id="rId74" name="CommandButton12"/>
      </mc:Fallback>
    </mc:AlternateContent>
    <mc:AlternateContent xmlns:mc="http://schemas.openxmlformats.org/markup-compatibility/2006">
      <mc:Choice Requires="x14">
        <control shapeId="3220" r:id="rId75" name="CommandButton11">
          <controlPr defaultSize="0" autoFill="0" autoLine="0" r:id="rId5">
            <anchor moveWithCells="1">
              <from>
                <xdr:col>8</xdr:col>
                <xdr:colOff>50800</xdr:colOff>
                <xdr:row>11</xdr:row>
                <xdr:rowOff>31750</xdr:rowOff>
              </from>
              <to>
                <xdr:col>8</xdr:col>
                <xdr:colOff>241300</xdr:colOff>
                <xdr:row>11</xdr:row>
                <xdr:rowOff>222250</xdr:rowOff>
              </to>
            </anchor>
          </controlPr>
        </control>
      </mc:Choice>
      <mc:Fallback>
        <control shapeId="3220" r:id="rId75" name="CommandButton11"/>
      </mc:Fallback>
    </mc:AlternateContent>
    <mc:AlternateContent xmlns:mc="http://schemas.openxmlformats.org/markup-compatibility/2006">
      <mc:Choice Requires="x14">
        <control shapeId="3219" r:id="rId76" name="CommandButton10">
          <controlPr defaultSize="0" autoFill="0" autoLine="0" r:id="rId5">
            <anchor moveWithCells="1">
              <from>
                <xdr:col>8</xdr:col>
                <xdr:colOff>50800</xdr:colOff>
                <xdr:row>10</xdr:row>
                <xdr:rowOff>31750</xdr:rowOff>
              </from>
              <to>
                <xdr:col>8</xdr:col>
                <xdr:colOff>241300</xdr:colOff>
                <xdr:row>10</xdr:row>
                <xdr:rowOff>222250</xdr:rowOff>
              </to>
            </anchor>
          </controlPr>
        </control>
      </mc:Choice>
      <mc:Fallback>
        <control shapeId="3219" r:id="rId76" name="CommandButton10"/>
      </mc:Fallback>
    </mc:AlternateContent>
    <mc:AlternateContent xmlns:mc="http://schemas.openxmlformats.org/markup-compatibility/2006">
      <mc:Choice Requires="x14">
        <control shapeId="3218" r:id="rId77" name="CommandButton9">
          <controlPr defaultSize="0" autoFill="0" autoLine="0" r:id="rId5">
            <anchor moveWithCells="1">
              <from>
                <xdr:col>8</xdr:col>
                <xdr:colOff>50800</xdr:colOff>
                <xdr:row>9</xdr:row>
                <xdr:rowOff>31750</xdr:rowOff>
              </from>
              <to>
                <xdr:col>8</xdr:col>
                <xdr:colOff>241300</xdr:colOff>
                <xdr:row>9</xdr:row>
                <xdr:rowOff>222250</xdr:rowOff>
              </to>
            </anchor>
          </controlPr>
        </control>
      </mc:Choice>
      <mc:Fallback>
        <control shapeId="3218" r:id="rId77" name="CommandButton9"/>
      </mc:Fallback>
    </mc:AlternateContent>
    <mc:AlternateContent xmlns:mc="http://schemas.openxmlformats.org/markup-compatibility/2006">
      <mc:Choice Requires="x14">
        <control shapeId="3217" r:id="rId78" name="CommandButton8">
          <controlPr defaultSize="0" autoFill="0" autoLine="0" r:id="rId5">
            <anchor moveWithCells="1">
              <from>
                <xdr:col>8</xdr:col>
                <xdr:colOff>50800</xdr:colOff>
                <xdr:row>8</xdr:row>
                <xdr:rowOff>31750</xdr:rowOff>
              </from>
              <to>
                <xdr:col>8</xdr:col>
                <xdr:colOff>241300</xdr:colOff>
                <xdr:row>8</xdr:row>
                <xdr:rowOff>222250</xdr:rowOff>
              </to>
            </anchor>
          </controlPr>
        </control>
      </mc:Choice>
      <mc:Fallback>
        <control shapeId="3217" r:id="rId78" name="CommandButton8"/>
      </mc:Fallback>
    </mc:AlternateContent>
    <mc:AlternateContent xmlns:mc="http://schemas.openxmlformats.org/markup-compatibility/2006">
      <mc:Choice Requires="x14">
        <control shapeId="3216" r:id="rId79" name="CommandButton7">
          <controlPr defaultSize="0" autoFill="0" autoLine="0" r:id="rId5">
            <anchor moveWithCells="1">
              <from>
                <xdr:col>8</xdr:col>
                <xdr:colOff>50800</xdr:colOff>
                <xdr:row>7</xdr:row>
                <xdr:rowOff>31750</xdr:rowOff>
              </from>
              <to>
                <xdr:col>8</xdr:col>
                <xdr:colOff>241300</xdr:colOff>
                <xdr:row>7</xdr:row>
                <xdr:rowOff>222250</xdr:rowOff>
              </to>
            </anchor>
          </controlPr>
        </control>
      </mc:Choice>
      <mc:Fallback>
        <control shapeId="3216" r:id="rId79" name="CommandButton7"/>
      </mc:Fallback>
    </mc:AlternateContent>
    <mc:AlternateContent xmlns:mc="http://schemas.openxmlformats.org/markup-compatibility/2006">
      <mc:Choice Requires="x14">
        <control shapeId="3214" r:id="rId80" name="CommandButton5">
          <controlPr defaultSize="0" autoFill="0" autoLine="0" r:id="rId5">
            <anchor moveWithCells="1">
              <from>
                <xdr:col>8</xdr:col>
                <xdr:colOff>50800</xdr:colOff>
                <xdr:row>5</xdr:row>
                <xdr:rowOff>31750</xdr:rowOff>
              </from>
              <to>
                <xdr:col>8</xdr:col>
                <xdr:colOff>241300</xdr:colOff>
                <xdr:row>5</xdr:row>
                <xdr:rowOff>222250</xdr:rowOff>
              </to>
            </anchor>
          </controlPr>
        </control>
      </mc:Choice>
      <mc:Fallback>
        <control shapeId="3214" r:id="rId80" name="CommandButton5"/>
      </mc:Fallback>
    </mc:AlternateContent>
    <mc:AlternateContent xmlns:mc="http://schemas.openxmlformats.org/markup-compatibility/2006">
      <mc:Choice Requires="x14">
        <control shapeId="3213" r:id="rId81" name="CommandButton4">
          <controlPr defaultSize="0" autoFill="0" autoLine="0" r:id="rId5">
            <anchor moveWithCells="1">
              <from>
                <xdr:col>8</xdr:col>
                <xdr:colOff>50800</xdr:colOff>
                <xdr:row>4</xdr:row>
                <xdr:rowOff>31750</xdr:rowOff>
              </from>
              <to>
                <xdr:col>8</xdr:col>
                <xdr:colOff>241300</xdr:colOff>
                <xdr:row>4</xdr:row>
                <xdr:rowOff>222250</xdr:rowOff>
              </to>
            </anchor>
          </controlPr>
        </control>
      </mc:Choice>
      <mc:Fallback>
        <control shapeId="3213" r:id="rId81" name="CommandButton4"/>
      </mc:Fallback>
    </mc:AlternateContent>
    <mc:AlternateContent xmlns:mc="http://schemas.openxmlformats.org/markup-compatibility/2006">
      <mc:Choice Requires="x14">
        <control shapeId="3212" r:id="rId82" name="CommandButton3">
          <controlPr defaultSize="0" autoFill="0" autoLine="0" r:id="rId5">
            <anchor moveWithCells="1">
              <from>
                <xdr:col>8</xdr:col>
                <xdr:colOff>50800</xdr:colOff>
                <xdr:row>3</xdr:row>
                <xdr:rowOff>31750</xdr:rowOff>
              </from>
              <to>
                <xdr:col>8</xdr:col>
                <xdr:colOff>241300</xdr:colOff>
                <xdr:row>3</xdr:row>
                <xdr:rowOff>222250</xdr:rowOff>
              </to>
            </anchor>
          </controlPr>
        </control>
      </mc:Choice>
      <mc:Fallback>
        <control shapeId="3212" r:id="rId82" name="CommandButton3"/>
      </mc:Fallback>
    </mc:AlternateContent>
    <mc:AlternateContent xmlns:mc="http://schemas.openxmlformats.org/markup-compatibility/2006">
      <mc:Choice Requires="x14">
        <control shapeId="3211" r:id="rId83" name="TextBox22">
          <controlPr defaultSize="0" disabled="1" autoLine="0" r:id="rId84">
            <anchor moveWithCells="1">
              <from>
                <xdr:col>9</xdr:col>
                <xdr:colOff>1085850</xdr:colOff>
                <xdr:row>3</xdr:row>
                <xdr:rowOff>19050</xdr:rowOff>
              </from>
              <to>
                <xdr:col>11</xdr:col>
                <xdr:colOff>222250</xdr:colOff>
                <xdr:row>4</xdr:row>
                <xdr:rowOff>25400</xdr:rowOff>
              </to>
            </anchor>
          </controlPr>
        </control>
      </mc:Choice>
      <mc:Fallback>
        <control shapeId="3211" r:id="rId83" name="TextBox22"/>
      </mc:Fallback>
    </mc:AlternateContent>
    <mc:AlternateContent xmlns:mc="http://schemas.openxmlformats.org/markup-compatibility/2006">
      <mc:Choice Requires="x14">
        <control shapeId="3209" r:id="rId85" name="CheckBox1">
          <controlPr defaultSize="0" disabled="1" autoFill="0" autoLine="0" r:id="rId86">
            <anchor moveWithCells="1">
              <from>
                <xdr:col>11</xdr:col>
                <xdr:colOff>666750</xdr:colOff>
                <xdr:row>1</xdr:row>
                <xdr:rowOff>203200</xdr:rowOff>
              </from>
              <to>
                <xdr:col>12</xdr:col>
                <xdr:colOff>736600</xdr:colOff>
                <xdr:row>3</xdr:row>
                <xdr:rowOff>19050</xdr:rowOff>
              </to>
            </anchor>
          </controlPr>
        </control>
      </mc:Choice>
      <mc:Fallback>
        <control shapeId="3209" r:id="rId85" name="CheckBox1"/>
      </mc:Fallback>
    </mc:AlternateContent>
    <mc:AlternateContent xmlns:mc="http://schemas.openxmlformats.org/markup-compatibility/2006">
      <mc:Choice Requires="x14">
        <control shapeId="3208" r:id="rId87" name="TextBox21">
          <controlPr defaultSize="0" disabled="1" autoLine="0" r:id="rId88">
            <anchor moveWithCells="1">
              <from>
                <xdr:col>9</xdr:col>
                <xdr:colOff>762000</xdr:colOff>
                <xdr:row>30</xdr:row>
                <xdr:rowOff>0</xdr:rowOff>
              </from>
              <to>
                <xdr:col>12</xdr:col>
                <xdr:colOff>330200</xdr:colOff>
                <xdr:row>30</xdr:row>
                <xdr:rowOff>222250</xdr:rowOff>
              </to>
            </anchor>
          </controlPr>
        </control>
      </mc:Choice>
      <mc:Fallback>
        <control shapeId="3208" r:id="rId87" name="TextBox21"/>
      </mc:Fallback>
    </mc:AlternateContent>
    <mc:AlternateContent xmlns:mc="http://schemas.openxmlformats.org/markup-compatibility/2006">
      <mc:Choice Requires="x14">
        <control shapeId="3207" r:id="rId89" name="TextBox20">
          <controlPr defaultSize="0" disabled="1" autoLine="0" r:id="rId90">
            <anchor moveWithCells="1">
              <from>
                <xdr:col>9</xdr:col>
                <xdr:colOff>762000</xdr:colOff>
                <xdr:row>29</xdr:row>
                <xdr:rowOff>0</xdr:rowOff>
              </from>
              <to>
                <xdr:col>12</xdr:col>
                <xdr:colOff>330200</xdr:colOff>
                <xdr:row>30</xdr:row>
                <xdr:rowOff>0</xdr:rowOff>
              </to>
            </anchor>
          </controlPr>
        </control>
      </mc:Choice>
      <mc:Fallback>
        <control shapeId="3207" r:id="rId89" name="TextBox20"/>
      </mc:Fallback>
    </mc:AlternateContent>
    <mc:AlternateContent xmlns:mc="http://schemas.openxmlformats.org/markup-compatibility/2006">
      <mc:Choice Requires="x14">
        <control shapeId="3206" r:id="rId91" name="TextBox19">
          <controlPr defaultSize="0" disabled="1" autoLine="0" r:id="rId90">
            <anchor moveWithCells="1">
              <from>
                <xdr:col>9</xdr:col>
                <xdr:colOff>762000</xdr:colOff>
                <xdr:row>28</xdr:row>
                <xdr:rowOff>0</xdr:rowOff>
              </from>
              <to>
                <xdr:col>12</xdr:col>
                <xdr:colOff>330200</xdr:colOff>
                <xdr:row>29</xdr:row>
                <xdr:rowOff>0</xdr:rowOff>
              </to>
            </anchor>
          </controlPr>
        </control>
      </mc:Choice>
      <mc:Fallback>
        <control shapeId="3206" r:id="rId91" name="TextBox19"/>
      </mc:Fallback>
    </mc:AlternateContent>
    <mc:AlternateContent xmlns:mc="http://schemas.openxmlformats.org/markup-compatibility/2006">
      <mc:Choice Requires="x14">
        <control shapeId="3202" r:id="rId92" name="TextBox18">
          <controlPr defaultSize="0" disabled="1" autoLine="0" r:id="rId90">
            <anchor moveWithCells="1">
              <from>
                <xdr:col>9</xdr:col>
                <xdr:colOff>762000</xdr:colOff>
                <xdr:row>26</xdr:row>
                <xdr:rowOff>222250</xdr:rowOff>
              </from>
              <to>
                <xdr:col>12</xdr:col>
                <xdr:colOff>330200</xdr:colOff>
                <xdr:row>27</xdr:row>
                <xdr:rowOff>222250</xdr:rowOff>
              </to>
            </anchor>
          </controlPr>
        </control>
      </mc:Choice>
      <mc:Fallback>
        <control shapeId="3202" r:id="rId92" name="TextBox18"/>
      </mc:Fallback>
    </mc:AlternateContent>
    <mc:AlternateContent xmlns:mc="http://schemas.openxmlformats.org/markup-compatibility/2006">
      <mc:Choice Requires="x14">
        <control shapeId="3200" r:id="rId93" name="Label14">
          <controlPr defaultSize="0" disabled="1" autoLine="0" r:id="rId94">
            <anchor moveWithCells="1">
              <from>
                <xdr:col>9</xdr:col>
                <xdr:colOff>1079500</xdr:colOff>
                <xdr:row>26</xdr:row>
                <xdr:rowOff>31750</xdr:rowOff>
              </from>
              <to>
                <xdr:col>10</xdr:col>
                <xdr:colOff>304800</xdr:colOff>
                <xdr:row>26</xdr:row>
                <xdr:rowOff>203200</xdr:rowOff>
              </to>
            </anchor>
          </controlPr>
        </control>
      </mc:Choice>
      <mc:Fallback>
        <control shapeId="3200" r:id="rId93" name="Label14"/>
      </mc:Fallback>
    </mc:AlternateContent>
    <mc:AlternateContent xmlns:mc="http://schemas.openxmlformats.org/markup-compatibility/2006">
      <mc:Choice Requires="x14">
        <control shapeId="3199" r:id="rId95" name="TextBox11">
          <controlPr defaultSize="0" disabled="1" autoLine="0" r:id="rId96">
            <anchor moveWithCells="1">
              <from>
                <xdr:col>10</xdr:col>
                <xdr:colOff>323850</xdr:colOff>
                <xdr:row>26</xdr:row>
                <xdr:rowOff>0</xdr:rowOff>
              </from>
              <to>
                <xdr:col>11</xdr:col>
                <xdr:colOff>533400</xdr:colOff>
                <xdr:row>27</xdr:row>
                <xdr:rowOff>0</xdr:rowOff>
              </to>
            </anchor>
          </controlPr>
        </control>
      </mc:Choice>
      <mc:Fallback>
        <control shapeId="3199" r:id="rId95" name="TextBox11"/>
      </mc:Fallback>
    </mc:AlternateContent>
    <mc:AlternateContent xmlns:mc="http://schemas.openxmlformats.org/markup-compatibility/2006">
      <mc:Choice Requires="x14">
        <control shapeId="3195" r:id="rId97" name="TextBox17">
          <controlPr defaultSize="0" disabled="1" autoLine="0" r:id="rId98">
            <anchor moveWithCells="1">
              <from>
                <xdr:col>10</xdr:col>
                <xdr:colOff>152400</xdr:colOff>
                <xdr:row>22</xdr:row>
                <xdr:rowOff>12700</xdr:rowOff>
              </from>
              <to>
                <xdr:col>10</xdr:col>
                <xdr:colOff>876300</xdr:colOff>
                <xdr:row>23</xdr:row>
                <xdr:rowOff>12700</xdr:rowOff>
              </to>
            </anchor>
          </controlPr>
        </control>
      </mc:Choice>
      <mc:Fallback>
        <control shapeId="3195" r:id="rId97" name="TextBox17"/>
      </mc:Fallback>
    </mc:AlternateContent>
    <mc:AlternateContent xmlns:mc="http://schemas.openxmlformats.org/markup-compatibility/2006">
      <mc:Choice Requires="x14">
        <control shapeId="3194" r:id="rId99" name="Label12">
          <controlPr defaultSize="0" disabled="1" autoLine="0" r:id="rId100">
            <anchor moveWithCells="1">
              <from>
                <xdr:col>9</xdr:col>
                <xdr:colOff>876300</xdr:colOff>
                <xdr:row>22</xdr:row>
                <xdr:rowOff>50800</xdr:rowOff>
              </from>
              <to>
                <xdr:col>10</xdr:col>
                <xdr:colOff>101600</xdr:colOff>
                <xdr:row>22</xdr:row>
                <xdr:rowOff>222250</xdr:rowOff>
              </to>
            </anchor>
          </controlPr>
        </control>
      </mc:Choice>
      <mc:Fallback>
        <control shapeId="3194" r:id="rId99" name="Label12"/>
      </mc:Fallback>
    </mc:AlternateContent>
    <mc:AlternateContent xmlns:mc="http://schemas.openxmlformats.org/markup-compatibility/2006">
      <mc:Choice Requires="x14">
        <control shapeId="3190" r:id="rId101" name="Label13">
          <controlPr defaultSize="0" disabled="1" autoLine="0" r:id="rId102">
            <anchor moveWithCells="1">
              <from>
                <xdr:col>11</xdr:col>
                <xdr:colOff>146050</xdr:colOff>
                <xdr:row>20</xdr:row>
                <xdr:rowOff>38100</xdr:rowOff>
              </from>
              <to>
                <xdr:col>11</xdr:col>
                <xdr:colOff>527050</xdr:colOff>
                <xdr:row>20</xdr:row>
                <xdr:rowOff>209550</xdr:rowOff>
              </to>
            </anchor>
          </controlPr>
        </control>
      </mc:Choice>
      <mc:Fallback>
        <control shapeId="3190" r:id="rId101" name="Label13"/>
      </mc:Fallback>
    </mc:AlternateContent>
    <mc:AlternateContent xmlns:mc="http://schemas.openxmlformats.org/markup-compatibility/2006">
      <mc:Choice Requires="x14">
        <control shapeId="3189" r:id="rId103" name="TextBox9">
          <controlPr defaultSize="0" disabled="1" autoLine="0" r:id="rId96">
            <anchor moveWithCells="1">
              <from>
                <xdr:col>11</xdr:col>
                <xdr:colOff>495300</xdr:colOff>
                <xdr:row>20</xdr:row>
                <xdr:rowOff>12700</xdr:rowOff>
              </from>
              <to>
                <xdr:col>12</xdr:col>
                <xdr:colOff>717550</xdr:colOff>
                <xdr:row>21</xdr:row>
                <xdr:rowOff>12700</xdr:rowOff>
              </to>
            </anchor>
          </controlPr>
        </control>
      </mc:Choice>
      <mc:Fallback>
        <control shapeId="3189" r:id="rId103" name="TextBox9"/>
      </mc:Fallback>
    </mc:AlternateContent>
    <mc:AlternateContent xmlns:mc="http://schemas.openxmlformats.org/markup-compatibility/2006">
      <mc:Choice Requires="x14">
        <control shapeId="3188" r:id="rId104" name="TextBox15">
          <controlPr defaultSize="0" disabled="1" autoLine="0" r:id="rId105">
            <anchor moveWithCells="1">
              <from>
                <xdr:col>11</xdr:col>
                <xdr:colOff>660400</xdr:colOff>
                <xdr:row>19</xdr:row>
                <xdr:rowOff>0</xdr:rowOff>
              </from>
              <to>
                <xdr:col>12</xdr:col>
                <xdr:colOff>450850</xdr:colOff>
                <xdr:row>20</xdr:row>
                <xdr:rowOff>0</xdr:rowOff>
              </to>
            </anchor>
          </controlPr>
        </control>
      </mc:Choice>
      <mc:Fallback>
        <control shapeId="3188" r:id="rId104" name="TextBox15"/>
      </mc:Fallback>
    </mc:AlternateContent>
    <mc:AlternateContent xmlns:mc="http://schemas.openxmlformats.org/markup-compatibility/2006">
      <mc:Choice Requires="x14">
        <control shapeId="3187" r:id="rId106" name="Label11">
          <controlPr defaultSize="0" disabled="1" autoLine="0" r:id="rId107">
            <anchor moveWithCells="1">
              <from>
                <xdr:col>11</xdr:col>
                <xdr:colOff>304800</xdr:colOff>
                <xdr:row>19</xdr:row>
                <xdr:rowOff>31750</xdr:rowOff>
              </from>
              <to>
                <xdr:col>11</xdr:col>
                <xdr:colOff>685800</xdr:colOff>
                <xdr:row>20</xdr:row>
                <xdr:rowOff>6350</xdr:rowOff>
              </to>
            </anchor>
          </controlPr>
        </control>
      </mc:Choice>
      <mc:Fallback>
        <control shapeId="3187" r:id="rId106" name="Label11"/>
      </mc:Fallback>
    </mc:AlternateContent>
    <mc:AlternateContent xmlns:mc="http://schemas.openxmlformats.org/markup-compatibility/2006">
      <mc:Choice Requires="x14">
        <control shapeId="3186" r:id="rId108" name="TextBox12">
          <controlPr defaultSize="0" disabled="1" autoLine="0" r:id="rId105">
            <anchor moveWithCells="1">
              <from>
                <xdr:col>10</xdr:col>
                <xdr:colOff>247650</xdr:colOff>
                <xdr:row>19</xdr:row>
                <xdr:rowOff>12700</xdr:rowOff>
              </from>
              <to>
                <xdr:col>11</xdr:col>
                <xdr:colOff>25400</xdr:colOff>
                <xdr:row>20</xdr:row>
                <xdr:rowOff>12700</xdr:rowOff>
              </to>
            </anchor>
          </controlPr>
        </control>
      </mc:Choice>
      <mc:Fallback>
        <control shapeId="3186" r:id="rId108" name="TextBox12"/>
      </mc:Fallback>
    </mc:AlternateContent>
    <mc:AlternateContent xmlns:mc="http://schemas.openxmlformats.org/markup-compatibility/2006">
      <mc:Choice Requires="x14">
        <control shapeId="3185" r:id="rId109" name="Label10">
          <controlPr defaultSize="0" disabled="1" autoLine="0" r:id="rId110">
            <anchor moveWithCells="1">
              <from>
                <xdr:col>9</xdr:col>
                <xdr:colOff>933450</xdr:colOff>
                <xdr:row>19</xdr:row>
                <xdr:rowOff>38100</xdr:rowOff>
              </from>
              <to>
                <xdr:col>10</xdr:col>
                <xdr:colOff>273050</xdr:colOff>
                <xdr:row>19</xdr:row>
                <xdr:rowOff>209550</xdr:rowOff>
              </to>
            </anchor>
          </controlPr>
        </control>
      </mc:Choice>
      <mc:Fallback>
        <control shapeId="3185" r:id="rId109" name="Label10"/>
      </mc:Fallback>
    </mc:AlternateContent>
    <mc:AlternateContent xmlns:mc="http://schemas.openxmlformats.org/markup-compatibility/2006">
      <mc:Choice Requires="x14">
        <control shapeId="3182" r:id="rId111" name="Label9">
          <controlPr defaultSize="0" disabled="1" autoLine="0" r:id="rId112">
            <anchor moveWithCells="1">
              <from>
                <xdr:col>11</xdr:col>
                <xdr:colOff>146050</xdr:colOff>
                <xdr:row>18</xdr:row>
                <xdr:rowOff>38100</xdr:rowOff>
              </from>
              <to>
                <xdr:col>11</xdr:col>
                <xdr:colOff>527050</xdr:colOff>
                <xdr:row>18</xdr:row>
                <xdr:rowOff>209550</xdr:rowOff>
              </to>
            </anchor>
          </controlPr>
        </control>
      </mc:Choice>
      <mc:Fallback>
        <control shapeId="3182" r:id="rId111" name="Label9"/>
      </mc:Fallback>
    </mc:AlternateContent>
    <mc:AlternateContent xmlns:mc="http://schemas.openxmlformats.org/markup-compatibility/2006">
      <mc:Choice Requires="x14">
        <control shapeId="3181" r:id="rId113" name="TextBox10">
          <controlPr defaultSize="0" disabled="1" autoLine="0" r:id="rId96">
            <anchor moveWithCells="1">
              <from>
                <xdr:col>11</xdr:col>
                <xdr:colOff>495300</xdr:colOff>
                <xdr:row>18</xdr:row>
                <xdr:rowOff>12700</xdr:rowOff>
              </from>
              <to>
                <xdr:col>12</xdr:col>
                <xdr:colOff>717550</xdr:colOff>
                <xdr:row>19</xdr:row>
                <xdr:rowOff>12700</xdr:rowOff>
              </to>
            </anchor>
          </controlPr>
        </control>
      </mc:Choice>
      <mc:Fallback>
        <control shapeId="3181" r:id="rId113" name="TextBox10"/>
      </mc:Fallback>
    </mc:AlternateContent>
    <mc:AlternateContent xmlns:mc="http://schemas.openxmlformats.org/markup-compatibility/2006">
      <mc:Choice Requires="x14">
        <control shapeId="3178" r:id="rId114" name="Label8">
          <controlPr defaultSize="0" disabled="1" autoLine="0" r:id="rId115">
            <anchor moveWithCells="1">
              <from>
                <xdr:col>11</xdr:col>
                <xdr:colOff>146050</xdr:colOff>
                <xdr:row>17</xdr:row>
                <xdr:rowOff>38100</xdr:rowOff>
              </from>
              <to>
                <xdr:col>11</xdr:col>
                <xdr:colOff>527050</xdr:colOff>
                <xdr:row>17</xdr:row>
                <xdr:rowOff>209550</xdr:rowOff>
              </to>
            </anchor>
          </controlPr>
        </control>
      </mc:Choice>
      <mc:Fallback>
        <control shapeId="3178" r:id="rId114" name="Label8"/>
      </mc:Fallback>
    </mc:AlternateContent>
    <mc:AlternateContent xmlns:mc="http://schemas.openxmlformats.org/markup-compatibility/2006">
      <mc:Choice Requires="x14">
        <control shapeId="3177" r:id="rId116" name="TextBox8">
          <controlPr defaultSize="0" disabled="1" autoLine="0" r:id="rId96">
            <anchor moveWithCells="1">
              <from>
                <xdr:col>11</xdr:col>
                <xdr:colOff>495300</xdr:colOff>
                <xdr:row>17</xdr:row>
                <xdr:rowOff>12700</xdr:rowOff>
              </from>
              <to>
                <xdr:col>12</xdr:col>
                <xdr:colOff>717550</xdr:colOff>
                <xdr:row>18</xdr:row>
                <xdr:rowOff>12700</xdr:rowOff>
              </to>
            </anchor>
          </controlPr>
        </control>
      </mc:Choice>
      <mc:Fallback>
        <control shapeId="3177" r:id="rId116" name="TextBox8"/>
      </mc:Fallback>
    </mc:AlternateContent>
    <mc:AlternateContent xmlns:mc="http://schemas.openxmlformats.org/markup-compatibility/2006">
      <mc:Choice Requires="x14">
        <control shapeId="3174" r:id="rId117" name="Label7">
          <controlPr defaultSize="0" disabled="1" autoLine="0" r:id="rId118">
            <anchor moveWithCells="1">
              <from>
                <xdr:col>11</xdr:col>
                <xdr:colOff>146050</xdr:colOff>
                <xdr:row>16</xdr:row>
                <xdr:rowOff>38100</xdr:rowOff>
              </from>
              <to>
                <xdr:col>11</xdr:col>
                <xdr:colOff>527050</xdr:colOff>
                <xdr:row>16</xdr:row>
                <xdr:rowOff>209550</xdr:rowOff>
              </to>
            </anchor>
          </controlPr>
        </control>
      </mc:Choice>
      <mc:Fallback>
        <control shapeId="3174" r:id="rId117" name="Label7"/>
      </mc:Fallback>
    </mc:AlternateContent>
    <mc:AlternateContent xmlns:mc="http://schemas.openxmlformats.org/markup-compatibility/2006">
      <mc:Choice Requires="x14">
        <control shapeId="3173" r:id="rId119" name="TextBox16">
          <controlPr defaultSize="0" disabled="1" autoLine="0" r:id="rId96">
            <anchor moveWithCells="1">
              <from>
                <xdr:col>11</xdr:col>
                <xdr:colOff>495300</xdr:colOff>
                <xdr:row>16</xdr:row>
                <xdr:rowOff>12700</xdr:rowOff>
              </from>
              <to>
                <xdr:col>12</xdr:col>
                <xdr:colOff>717550</xdr:colOff>
                <xdr:row>17</xdr:row>
                <xdr:rowOff>12700</xdr:rowOff>
              </to>
            </anchor>
          </controlPr>
        </control>
      </mc:Choice>
      <mc:Fallback>
        <control shapeId="3173" r:id="rId119" name="TextBox16"/>
      </mc:Fallback>
    </mc:AlternateContent>
    <mc:AlternateContent xmlns:mc="http://schemas.openxmlformats.org/markup-compatibility/2006">
      <mc:Choice Requires="x14">
        <control shapeId="3172" r:id="rId120" name="TextBox7">
          <controlPr defaultSize="0" disabled="1" autoLine="0" r:id="rId96">
            <anchor moveWithCells="1">
              <from>
                <xdr:col>11</xdr:col>
                <xdr:colOff>495300</xdr:colOff>
                <xdr:row>15</xdr:row>
                <xdr:rowOff>12700</xdr:rowOff>
              </from>
              <to>
                <xdr:col>12</xdr:col>
                <xdr:colOff>717550</xdr:colOff>
                <xdr:row>16</xdr:row>
                <xdr:rowOff>12700</xdr:rowOff>
              </to>
            </anchor>
          </controlPr>
        </control>
      </mc:Choice>
      <mc:Fallback>
        <control shapeId="3172" r:id="rId120" name="TextBox7"/>
      </mc:Fallback>
    </mc:AlternateContent>
    <mc:AlternateContent xmlns:mc="http://schemas.openxmlformats.org/markup-compatibility/2006">
      <mc:Choice Requires="x14">
        <control shapeId="3169" r:id="rId121" name="Label6">
          <controlPr defaultSize="0" disabled="1" autoLine="0" r:id="rId122">
            <anchor moveWithCells="1">
              <from>
                <xdr:col>11</xdr:col>
                <xdr:colOff>146050</xdr:colOff>
                <xdr:row>15</xdr:row>
                <xdr:rowOff>38100</xdr:rowOff>
              </from>
              <to>
                <xdr:col>11</xdr:col>
                <xdr:colOff>527050</xdr:colOff>
                <xdr:row>15</xdr:row>
                <xdr:rowOff>209550</xdr:rowOff>
              </to>
            </anchor>
          </controlPr>
        </control>
      </mc:Choice>
      <mc:Fallback>
        <control shapeId="3169" r:id="rId121" name="Label6"/>
      </mc:Fallback>
    </mc:AlternateContent>
    <mc:AlternateContent xmlns:mc="http://schemas.openxmlformats.org/markup-compatibility/2006">
      <mc:Choice Requires="x14">
        <control shapeId="3168" r:id="rId123" name="TextBox6">
          <controlPr defaultSize="0" autoLine="0" r:id="rId96">
            <anchor moveWithCells="1">
              <from>
                <xdr:col>11</xdr:col>
                <xdr:colOff>495300</xdr:colOff>
                <xdr:row>15</xdr:row>
                <xdr:rowOff>12700</xdr:rowOff>
              </from>
              <to>
                <xdr:col>12</xdr:col>
                <xdr:colOff>717550</xdr:colOff>
                <xdr:row>16</xdr:row>
                <xdr:rowOff>12700</xdr:rowOff>
              </to>
            </anchor>
          </controlPr>
        </control>
      </mc:Choice>
      <mc:Fallback>
        <control shapeId="3168" r:id="rId123" name="TextBox6"/>
      </mc:Fallback>
    </mc:AlternateContent>
    <mc:AlternateContent xmlns:mc="http://schemas.openxmlformats.org/markup-compatibility/2006">
      <mc:Choice Requires="x14">
        <control shapeId="3166" r:id="rId124" name="TextBox5">
          <controlPr defaultSize="0" disabled="1" autoLine="0" r:id="rId98">
            <anchor moveWithCells="1">
              <from>
                <xdr:col>10</xdr:col>
                <xdr:colOff>469900</xdr:colOff>
                <xdr:row>14</xdr:row>
                <xdr:rowOff>12700</xdr:rowOff>
              </from>
              <to>
                <xdr:col>11</xdr:col>
                <xdr:colOff>114300</xdr:colOff>
                <xdr:row>15</xdr:row>
                <xdr:rowOff>12700</xdr:rowOff>
              </to>
            </anchor>
          </controlPr>
        </control>
      </mc:Choice>
      <mc:Fallback>
        <control shapeId="3166" r:id="rId124" name="TextBox5"/>
      </mc:Fallback>
    </mc:AlternateContent>
    <mc:AlternateContent xmlns:mc="http://schemas.openxmlformats.org/markup-compatibility/2006">
      <mc:Choice Requires="x14">
        <control shapeId="3165" r:id="rId125" name="Label5">
          <controlPr defaultSize="0" disabled="1" autoLine="0" r:id="rId126">
            <anchor moveWithCells="1">
              <from>
                <xdr:col>9</xdr:col>
                <xdr:colOff>857250</xdr:colOff>
                <xdr:row>14</xdr:row>
                <xdr:rowOff>50800</xdr:rowOff>
              </from>
              <to>
                <xdr:col>10</xdr:col>
                <xdr:colOff>393700</xdr:colOff>
                <xdr:row>14</xdr:row>
                <xdr:rowOff>222250</xdr:rowOff>
              </to>
            </anchor>
          </controlPr>
        </control>
      </mc:Choice>
      <mc:Fallback>
        <control shapeId="3165" r:id="rId125" name="Label5"/>
      </mc:Fallback>
    </mc:AlternateContent>
    <mc:AlternateContent xmlns:mc="http://schemas.openxmlformats.org/markup-compatibility/2006">
      <mc:Choice Requires="x14">
        <control shapeId="3162" r:id="rId127" name="TextBox4">
          <controlPr defaultSize="0" disabled="1" autoLine="0" r:id="rId105">
            <anchor moveWithCells="1">
              <from>
                <xdr:col>11</xdr:col>
                <xdr:colOff>660400</xdr:colOff>
                <xdr:row>12</xdr:row>
                <xdr:rowOff>0</xdr:rowOff>
              </from>
              <to>
                <xdr:col>12</xdr:col>
                <xdr:colOff>450850</xdr:colOff>
                <xdr:row>13</xdr:row>
                <xdr:rowOff>0</xdr:rowOff>
              </to>
            </anchor>
          </controlPr>
        </control>
      </mc:Choice>
      <mc:Fallback>
        <control shapeId="3162" r:id="rId127" name="TextBox4"/>
      </mc:Fallback>
    </mc:AlternateContent>
    <mc:AlternateContent xmlns:mc="http://schemas.openxmlformats.org/markup-compatibility/2006">
      <mc:Choice Requires="x14">
        <control shapeId="3161" r:id="rId128" name="Label4">
          <controlPr defaultSize="0" disabled="1" autoLine="0" r:id="rId129">
            <anchor moveWithCells="1">
              <from>
                <xdr:col>11</xdr:col>
                <xdr:colOff>304800</xdr:colOff>
                <xdr:row>12</xdr:row>
                <xdr:rowOff>31750</xdr:rowOff>
              </from>
              <to>
                <xdr:col>11</xdr:col>
                <xdr:colOff>635000</xdr:colOff>
                <xdr:row>12</xdr:row>
                <xdr:rowOff>203200</xdr:rowOff>
              </to>
            </anchor>
          </controlPr>
        </control>
      </mc:Choice>
      <mc:Fallback>
        <control shapeId="3161" r:id="rId128" name="Label4"/>
      </mc:Fallback>
    </mc:AlternateContent>
    <mc:AlternateContent xmlns:mc="http://schemas.openxmlformats.org/markup-compatibility/2006">
      <mc:Choice Requires="x14">
        <control shapeId="3160" r:id="rId130" name="TextBox3">
          <controlPr defaultSize="0" disabled="1" autoLine="0" r:id="rId105">
            <anchor moveWithCells="1">
              <from>
                <xdr:col>10</xdr:col>
                <xdr:colOff>279400</xdr:colOff>
                <xdr:row>12</xdr:row>
                <xdr:rowOff>12700</xdr:rowOff>
              </from>
              <to>
                <xdr:col>11</xdr:col>
                <xdr:colOff>57150</xdr:colOff>
                <xdr:row>13</xdr:row>
                <xdr:rowOff>12700</xdr:rowOff>
              </to>
            </anchor>
          </controlPr>
        </control>
      </mc:Choice>
      <mc:Fallback>
        <control shapeId="3160" r:id="rId130" name="TextBox3"/>
      </mc:Fallback>
    </mc:AlternateContent>
    <mc:AlternateContent xmlns:mc="http://schemas.openxmlformats.org/markup-compatibility/2006">
      <mc:Choice Requires="x14">
        <control shapeId="3159" r:id="rId131" name="Label3">
          <controlPr defaultSize="0" disabled="1" autoLine="0" autoPict="0" r:id="rId132">
            <anchor moveWithCells="1">
              <from>
                <xdr:col>9</xdr:col>
                <xdr:colOff>933450</xdr:colOff>
                <xdr:row>12</xdr:row>
                <xdr:rowOff>38100</xdr:rowOff>
              </from>
              <to>
                <xdr:col>10</xdr:col>
                <xdr:colOff>285750</xdr:colOff>
                <xdr:row>12</xdr:row>
                <xdr:rowOff>222250</xdr:rowOff>
              </to>
            </anchor>
          </controlPr>
        </control>
      </mc:Choice>
      <mc:Fallback>
        <control shapeId="3159" r:id="rId131" name="Label3"/>
      </mc:Fallback>
    </mc:AlternateContent>
    <mc:AlternateContent xmlns:mc="http://schemas.openxmlformats.org/markup-compatibility/2006">
      <mc:Choice Requires="x14">
        <control shapeId="3157" r:id="rId133" name="TextBox2">
          <controlPr defaultSize="0" disabled="1" autoLine="0" r:id="rId134">
            <anchor moveWithCells="1">
              <from>
                <xdr:col>12</xdr:col>
                <xdr:colOff>19050</xdr:colOff>
                <xdr:row>10</xdr:row>
                <xdr:rowOff>0</xdr:rowOff>
              </from>
              <to>
                <xdr:col>12</xdr:col>
                <xdr:colOff>787400</xdr:colOff>
                <xdr:row>11</xdr:row>
                <xdr:rowOff>19050</xdr:rowOff>
              </to>
            </anchor>
          </controlPr>
        </control>
      </mc:Choice>
      <mc:Fallback>
        <control shapeId="3157" r:id="rId133" name="TextBox2"/>
      </mc:Fallback>
    </mc:AlternateContent>
    <mc:AlternateContent xmlns:mc="http://schemas.openxmlformats.org/markup-compatibility/2006">
      <mc:Choice Requires="x14">
        <control shapeId="3156" r:id="rId135" name="Label2">
          <controlPr defaultSize="0" disabled="1" autoLine="0" autoPict="0" r:id="rId136">
            <anchor moveWithCells="1">
              <from>
                <xdr:col>11</xdr:col>
                <xdr:colOff>304800</xdr:colOff>
                <xdr:row>10</xdr:row>
                <xdr:rowOff>31750</xdr:rowOff>
              </from>
              <to>
                <xdr:col>12</xdr:col>
                <xdr:colOff>12700</xdr:colOff>
                <xdr:row>10</xdr:row>
                <xdr:rowOff>209550</xdr:rowOff>
              </to>
            </anchor>
          </controlPr>
        </control>
      </mc:Choice>
      <mc:Fallback>
        <control shapeId="3156" r:id="rId135" name="Label2"/>
      </mc:Fallback>
    </mc:AlternateContent>
    <mc:AlternateContent xmlns:mc="http://schemas.openxmlformats.org/markup-compatibility/2006">
      <mc:Choice Requires="x14">
        <control shapeId="3155" r:id="rId137" name="TextBox1">
          <controlPr defaultSize="0" disabled="1" autoLine="0" r:id="rId134">
            <anchor moveWithCells="1">
              <from>
                <xdr:col>10</xdr:col>
                <xdr:colOff>393700</xdr:colOff>
                <xdr:row>10</xdr:row>
                <xdr:rowOff>12700</xdr:rowOff>
              </from>
              <to>
                <xdr:col>11</xdr:col>
                <xdr:colOff>82550</xdr:colOff>
                <xdr:row>11</xdr:row>
                <xdr:rowOff>31750</xdr:rowOff>
              </to>
            </anchor>
          </controlPr>
        </control>
      </mc:Choice>
      <mc:Fallback>
        <control shapeId="3155" r:id="rId137" name="TextBox1"/>
      </mc:Fallback>
    </mc:AlternateContent>
    <mc:AlternateContent xmlns:mc="http://schemas.openxmlformats.org/markup-compatibility/2006">
      <mc:Choice Requires="x14">
        <control shapeId="3154" r:id="rId138" name="Label1">
          <controlPr defaultSize="0" disabled="1" autoLine="0" r:id="rId139">
            <anchor moveWithCells="1">
              <from>
                <xdr:col>9</xdr:col>
                <xdr:colOff>933450</xdr:colOff>
                <xdr:row>10</xdr:row>
                <xdr:rowOff>38100</xdr:rowOff>
              </from>
              <to>
                <xdr:col>10</xdr:col>
                <xdr:colOff>381000</xdr:colOff>
                <xdr:row>10</xdr:row>
                <xdr:rowOff>222250</xdr:rowOff>
              </to>
            </anchor>
          </controlPr>
        </control>
      </mc:Choice>
      <mc:Fallback>
        <control shapeId="3154" r:id="rId138" name="Label1"/>
      </mc:Fallback>
    </mc:AlternateContent>
    <mc:AlternateContent xmlns:mc="http://schemas.openxmlformats.org/markup-compatibility/2006">
      <mc:Choice Requires="x14">
        <control shapeId="3151" r:id="rId140" name="TextBox14">
          <controlPr defaultSize="0" disabled="1" autoLine="0" r:id="rId134">
            <anchor moveWithCells="1">
              <from>
                <xdr:col>12</xdr:col>
                <xdr:colOff>12700</xdr:colOff>
                <xdr:row>8</xdr:row>
                <xdr:rowOff>0</xdr:rowOff>
              </from>
              <to>
                <xdr:col>12</xdr:col>
                <xdr:colOff>781050</xdr:colOff>
                <xdr:row>9</xdr:row>
                <xdr:rowOff>19050</xdr:rowOff>
              </to>
            </anchor>
          </controlPr>
        </control>
      </mc:Choice>
      <mc:Fallback>
        <control shapeId="3151" r:id="rId140" name="TextBox14"/>
      </mc:Fallback>
    </mc:AlternateContent>
    <mc:AlternateContent xmlns:mc="http://schemas.openxmlformats.org/markup-compatibility/2006">
      <mc:Choice Requires="x14">
        <control shapeId="3150" r:id="rId141" name="Label16">
          <controlPr defaultSize="0" disabled="1" autoLine="0" autoPict="0" r:id="rId142">
            <anchor moveWithCells="1">
              <from>
                <xdr:col>11</xdr:col>
                <xdr:colOff>304800</xdr:colOff>
                <xdr:row>8</xdr:row>
                <xdr:rowOff>31750</xdr:rowOff>
              </from>
              <to>
                <xdr:col>12</xdr:col>
                <xdr:colOff>50800</xdr:colOff>
                <xdr:row>8</xdr:row>
                <xdr:rowOff>209550</xdr:rowOff>
              </to>
            </anchor>
          </controlPr>
        </control>
      </mc:Choice>
      <mc:Fallback>
        <control shapeId="3150" r:id="rId141" name="Label16"/>
      </mc:Fallback>
    </mc:AlternateContent>
    <mc:AlternateContent xmlns:mc="http://schemas.openxmlformats.org/markup-compatibility/2006">
      <mc:Choice Requires="x14">
        <control shapeId="3149" r:id="rId143" name="TextBox13">
          <controlPr defaultSize="0" disabled="1" autoLine="0" r:id="rId134">
            <anchor moveWithCells="1">
              <from>
                <xdr:col>10</xdr:col>
                <xdr:colOff>393700</xdr:colOff>
                <xdr:row>8</xdr:row>
                <xdr:rowOff>12700</xdr:rowOff>
              </from>
              <to>
                <xdr:col>11</xdr:col>
                <xdr:colOff>82550</xdr:colOff>
                <xdr:row>9</xdr:row>
                <xdr:rowOff>31750</xdr:rowOff>
              </to>
            </anchor>
          </controlPr>
        </control>
      </mc:Choice>
      <mc:Fallback>
        <control shapeId="3149" r:id="rId143" name="TextBox13"/>
      </mc:Fallback>
    </mc:AlternateContent>
    <mc:AlternateContent xmlns:mc="http://schemas.openxmlformats.org/markup-compatibility/2006">
      <mc:Choice Requires="x14">
        <control shapeId="3148" r:id="rId144" name="Label15">
          <controlPr defaultSize="0" disabled="1" autoLine="0" autoPict="0" r:id="rId145">
            <anchor moveWithCells="1">
              <from>
                <xdr:col>9</xdr:col>
                <xdr:colOff>933450</xdr:colOff>
                <xdr:row>8</xdr:row>
                <xdr:rowOff>38100</xdr:rowOff>
              </from>
              <to>
                <xdr:col>10</xdr:col>
                <xdr:colOff>450850</xdr:colOff>
                <xdr:row>8</xdr:row>
                <xdr:rowOff>222250</xdr:rowOff>
              </to>
            </anchor>
          </controlPr>
        </control>
      </mc:Choice>
      <mc:Fallback>
        <control shapeId="3148" r:id="rId144" name="Label15"/>
      </mc:Fallback>
    </mc:AlternateContent>
    <mc:AlternateContent xmlns:mc="http://schemas.openxmlformats.org/markup-compatibility/2006">
      <mc:Choice Requires="x14">
        <control shapeId="3083" r:id="rId146" name="CommandButton2">
          <controlPr defaultSize="0" autoFill="0" autoLine="0" r:id="rId5">
            <anchor moveWithCells="1">
              <from>
                <xdr:col>8</xdr:col>
                <xdr:colOff>50800</xdr:colOff>
                <xdr:row>2</xdr:row>
                <xdr:rowOff>31750</xdr:rowOff>
              </from>
              <to>
                <xdr:col>8</xdr:col>
                <xdr:colOff>241300</xdr:colOff>
                <xdr:row>2</xdr:row>
                <xdr:rowOff>222250</xdr:rowOff>
              </to>
            </anchor>
          </controlPr>
        </control>
      </mc:Choice>
      <mc:Fallback>
        <control shapeId="3083" r:id="rId146" name="CommandButton2"/>
      </mc:Fallback>
    </mc:AlternateContent>
    <mc:AlternateContent xmlns:mc="http://schemas.openxmlformats.org/markup-compatibility/2006">
      <mc:Choice Requires="x14">
        <control shapeId="3249" r:id="rId147" name="CheckBox13">
          <controlPr defaultSize="0" disabled="1" autoFill="0" autoLine="0" r:id="rId148">
            <anchor moveWithCells="1">
              <from>
                <xdr:col>11</xdr:col>
                <xdr:colOff>514350</xdr:colOff>
                <xdr:row>14</xdr:row>
                <xdr:rowOff>0</xdr:rowOff>
              </from>
              <to>
                <xdr:col>12</xdr:col>
                <xdr:colOff>508000</xdr:colOff>
                <xdr:row>15</xdr:row>
                <xdr:rowOff>6350</xdr:rowOff>
              </to>
            </anchor>
          </controlPr>
        </control>
      </mc:Choice>
      <mc:Fallback>
        <control shapeId="3249" r:id="rId147" name="CheckBox13"/>
      </mc:Fallback>
    </mc:AlternateContent>
    <mc:AlternateContent xmlns:mc="http://schemas.openxmlformats.org/markup-compatibility/2006">
      <mc:Choice Requires="x14">
        <control shapeId="3250" r:id="rId149" name="CheckBox14">
          <controlPr defaultSize="0" disabled="1" autoFill="0" autoLine="0" r:id="rId150">
            <anchor moveWithCells="1">
              <from>
                <xdr:col>9</xdr:col>
                <xdr:colOff>984250</xdr:colOff>
                <xdr:row>15</xdr:row>
                <xdr:rowOff>0</xdr:rowOff>
              </from>
              <to>
                <xdr:col>10</xdr:col>
                <xdr:colOff>266700</xdr:colOff>
                <xdr:row>16</xdr:row>
                <xdr:rowOff>6350</xdr:rowOff>
              </to>
            </anchor>
          </controlPr>
        </control>
      </mc:Choice>
      <mc:Fallback>
        <control shapeId="3250" r:id="rId149" name="CheckBox14"/>
      </mc:Fallback>
    </mc:AlternateContent>
    <mc:AlternateContent xmlns:mc="http://schemas.openxmlformats.org/markup-compatibility/2006">
      <mc:Choice Requires="x14">
        <control shapeId="3251" r:id="rId151" name="CheckBox15">
          <controlPr defaultSize="0" disabled="1" autoFill="0" autoLine="0" r:id="rId152">
            <anchor moveWithCells="1">
              <from>
                <xdr:col>10</xdr:col>
                <xdr:colOff>488950</xdr:colOff>
                <xdr:row>15</xdr:row>
                <xdr:rowOff>0</xdr:rowOff>
              </from>
              <to>
                <xdr:col>10</xdr:col>
                <xdr:colOff>927100</xdr:colOff>
                <xdr:row>16</xdr:row>
                <xdr:rowOff>6350</xdr:rowOff>
              </to>
            </anchor>
          </controlPr>
        </control>
      </mc:Choice>
      <mc:Fallback>
        <control shapeId="3251" r:id="rId151" name="CheckBox15"/>
      </mc:Fallback>
    </mc:AlternateContent>
    <mc:AlternateContent xmlns:mc="http://schemas.openxmlformats.org/markup-compatibility/2006">
      <mc:Choice Requires="x14">
        <control shapeId="3252" r:id="rId153" name="CheckBox16">
          <controlPr defaultSize="0" disabled="1" autoFill="0" autoLine="0" r:id="rId154">
            <anchor moveWithCells="1">
              <from>
                <xdr:col>9</xdr:col>
                <xdr:colOff>984250</xdr:colOff>
                <xdr:row>16</xdr:row>
                <xdr:rowOff>0</xdr:rowOff>
              </from>
              <to>
                <xdr:col>10</xdr:col>
                <xdr:colOff>304800</xdr:colOff>
                <xdr:row>17</xdr:row>
                <xdr:rowOff>6350</xdr:rowOff>
              </to>
            </anchor>
          </controlPr>
        </control>
      </mc:Choice>
      <mc:Fallback>
        <control shapeId="3252" r:id="rId153" name="CheckBox16"/>
      </mc:Fallback>
    </mc:AlternateContent>
    <mc:AlternateContent xmlns:mc="http://schemas.openxmlformats.org/markup-compatibility/2006">
      <mc:Choice Requires="x14">
        <control shapeId="3253" r:id="rId155" name="CheckBox17">
          <controlPr defaultSize="0" disabled="1" autoFill="0" autoLine="0" r:id="rId156">
            <anchor moveWithCells="1">
              <from>
                <xdr:col>10</xdr:col>
                <xdr:colOff>488950</xdr:colOff>
                <xdr:row>16</xdr:row>
                <xdr:rowOff>0</xdr:rowOff>
              </from>
              <to>
                <xdr:col>10</xdr:col>
                <xdr:colOff>901700</xdr:colOff>
                <xdr:row>17</xdr:row>
                <xdr:rowOff>6350</xdr:rowOff>
              </to>
            </anchor>
          </controlPr>
        </control>
      </mc:Choice>
      <mc:Fallback>
        <control shapeId="3253" r:id="rId155" name="CheckBox17"/>
      </mc:Fallback>
    </mc:AlternateContent>
    <mc:AlternateContent xmlns:mc="http://schemas.openxmlformats.org/markup-compatibility/2006">
      <mc:Choice Requires="x14">
        <control shapeId="3254" r:id="rId157" name="CheckBox18">
          <controlPr defaultSize="0" disabled="1" autoFill="0" autoLine="0" r:id="rId158">
            <anchor moveWithCells="1">
              <from>
                <xdr:col>9</xdr:col>
                <xdr:colOff>984250</xdr:colOff>
                <xdr:row>17</xdr:row>
                <xdr:rowOff>0</xdr:rowOff>
              </from>
              <to>
                <xdr:col>10</xdr:col>
                <xdr:colOff>279400</xdr:colOff>
                <xdr:row>18</xdr:row>
                <xdr:rowOff>6350</xdr:rowOff>
              </to>
            </anchor>
          </controlPr>
        </control>
      </mc:Choice>
      <mc:Fallback>
        <control shapeId="3254" r:id="rId157" name="CheckBox18"/>
      </mc:Fallback>
    </mc:AlternateContent>
    <mc:AlternateContent xmlns:mc="http://schemas.openxmlformats.org/markup-compatibility/2006">
      <mc:Choice Requires="x14">
        <control shapeId="3255" r:id="rId159" name="CheckBox19">
          <controlPr defaultSize="0" disabled="1" autoFill="0" autoLine="0" r:id="rId160">
            <anchor moveWithCells="1">
              <from>
                <xdr:col>10</xdr:col>
                <xdr:colOff>488950</xdr:colOff>
                <xdr:row>17</xdr:row>
                <xdr:rowOff>0</xdr:rowOff>
              </from>
              <to>
                <xdr:col>10</xdr:col>
                <xdr:colOff>920750</xdr:colOff>
                <xdr:row>18</xdr:row>
                <xdr:rowOff>6350</xdr:rowOff>
              </to>
            </anchor>
          </controlPr>
        </control>
      </mc:Choice>
      <mc:Fallback>
        <control shapeId="3255" r:id="rId159" name="CheckBox19"/>
      </mc:Fallback>
    </mc:AlternateContent>
    <mc:AlternateContent xmlns:mc="http://schemas.openxmlformats.org/markup-compatibility/2006">
      <mc:Choice Requires="x14">
        <control shapeId="3256" r:id="rId161" name="CheckBox20">
          <controlPr defaultSize="0" disabled="1" autoFill="0" autoLine="0" r:id="rId162">
            <anchor moveWithCells="1">
              <from>
                <xdr:col>9</xdr:col>
                <xdr:colOff>984250</xdr:colOff>
                <xdr:row>17</xdr:row>
                <xdr:rowOff>222250</xdr:rowOff>
              </from>
              <to>
                <xdr:col>10</xdr:col>
                <xdr:colOff>304800</xdr:colOff>
                <xdr:row>19</xdr:row>
                <xdr:rowOff>0</xdr:rowOff>
              </to>
            </anchor>
          </controlPr>
        </control>
      </mc:Choice>
      <mc:Fallback>
        <control shapeId="3256" r:id="rId161" name="CheckBox20"/>
      </mc:Fallback>
    </mc:AlternateContent>
    <mc:AlternateContent xmlns:mc="http://schemas.openxmlformats.org/markup-compatibility/2006">
      <mc:Choice Requires="x14">
        <control shapeId="3257" r:id="rId163" name="CheckBox21">
          <controlPr defaultSize="0" disabled="1" autoFill="0" autoLine="0" r:id="rId164">
            <anchor moveWithCells="1">
              <from>
                <xdr:col>10</xdr:col>
                <xdr:colOff>488950</xdr:colOff>
                <xdr:row>17</xdr:row>
                <xdr:rowOff>222250</xdr:rowOff>
              </from>
              <to>
                <xdr:col>10</xdr:col>
                <xdr:colOff>927100</xdr:colOff>
                <xdr:row>19</xdr:row>
                <xdr:rowOff>0</xdr:rowOff>
              </to>
            </anchor>
          </controlPr>
        </control>
      </mc:Choice>
      <mc:Fallback>
        <control shapeId="3257" r:id="rId163" name="CheckBox21"/>
      </mc:Fallback>
    </mc:AlternateContent>
    <mc:AlternateContent xmlns:mc="http://schemas.openxmlformats.org/markup-compatibility/2006">
      <mc:Choice Requires="x14">
        <control shapeId="3258" r:id="rId165" name="CheckBox22">
          <controlPr defaultSize="0" disabled="1" autoFill="0" autoLine="0" r:id="rId166">
            <anchor moveWithCells="1">
              <from>
                <xdr:col>11</xdr:col>
                <xdr:colOff>590550</xdr:colOff>
                <xdr:row>12</xdr:row>
                <xdr:rowOff>222250</xdr:rowOff>
              </from>
              <to>
                <xdr:col>12</xdr:col>
                <xdr:colOff>539750</xdr:colOff>
                <xdr:row>14</xdr:row>
                <xdr:rowOff>0</xdr:rowOff>
              </to>
            </anchor>
          </controlPr>
        </control>
      </mc:Choice>
      <mc:Fallback>
        <control shapeId="3258" r:id="rId165" name="CheckBox22"/>
      </mc:Fallback>
    </mc:AlternateContent>
    <mc:AlternateContent xmlns:mc="http://schemas.openxmlformats.org/markup-compatibility/2006">
      <mc:Choice Requires="x14">
        <control shapeId="3259" r:id="rId167" name="CheckBox23">
          <controlPr defaultSize="0" disabled="1" autoFill="0" autoLine="0" r:id="rId168">
            <anchor moveWithCells="1">
              <from>
                <xdr:col>9</xdr:col>
                <xdr:colOff>1003300</xdr:colOff>
                <xdr:row>19</xdr:row>
                <xdr:rowOff>222250</xdr:rowOff>
              </from>
              <to>
                <xdr:col>10</xdr:col>
                <xdr:colOff>381000</xdr:colOff>
                <xdr:row>21</xdr:row>
                <xdr:rowOff>0</xdr:rowOff>
              </to>
            </anchor>
          </controlPr>
        </control>
      </mc:Choice>
      <mc:Fallback>
        <control shapeId="3259" r:id="rId167" name="CheckBox23"/>
      </mc:Fallback>
    </mc:AlternateContent>
    <mc:AlternateContent xmlns:mc="http://schemas.openxmlformats.org/markup-compatibility/2006">
      <mc:Choice Requires="x14">
        <control shapeId="3260" r:id="rId169" name="CheckBox24">
          <controlPr defaultSize="0" disabled="1" autoFill="0" autoLine="0" r:id="rId170">
            <anchor moveWithCells="1">
              <from>
                <xdr:col>10</xdr:col>
                <xdr:colOff>508000</xdr:colOff>
                <xdr:row>19</xdr:row>
                <xdr:rowOff>222250</xdr:rowOff>
              </from>
              <to>
                <xdr:col>10</xdr:col>
                <xdr:colOff>946150</xdr:colOff>
                <xdr:row>21</xdr:row>
                <xdr:rowOff>0</xdr:rowOff>
              </to>
            </anchor>
          </controlPr>
        </control>
      </mc:Choice>
      <mc:Fallback>
        <control shapeId="3260" r:id="rId169" name="CheckBox24"/>
      </mc:Fallback>
    </mc:AlternateContent>
    <mc:AlternateContent xmlns:mc="http://schemas.openxmlformats.org/markup-compatibility/2006">
      <mc:Choice Requires="x14">
        <control shapeId="3261" r:id="rId171" name="CheckBox25">
          <controlPr defaultSize="0" disabled="1" autoFill="0" autoLine="0" r:id="rId172">
            <anchor moveWithCells="1">
              <from>
                <xdr:col>11</xdr:col>
                <xdr:colOff>133350</xdr:colOff>
                <xdr:row>22</xdr:row>
                <xdr:rowOff>0</xdr:rowOff>
              </from>
              <to>
                <xdr:col>11</xdr:col>
                <xdr:colOff>774700</xdr:colOff>
                <xdr:row>23</xdr:row>
                <xdr:rowOff>6350</xdr:rowOff>
              </to>
            </anchor>
          </controlPr>
        </control>
      </mc:Choice>
      <mc:Fallback>
        <control shapeId="3261" r:id="rId171" name="CheckBox25"/>
      </mc:Fallback>
    </mc:AlternateContent>
    <mc:AlternateContent xmlns:mc="http://schemas.openxmlformats.org/markup-compatibility/2006">
      <mc:Choice Requires="x14">
        <control shapeId="3262" r:id="rId173" name="CheckBox26">
          <controlPr defaultSize="0" disabled="1" autoFill="0" autoLine="0" r:id="rId174">
            <anchor moveWithCells="1">
              <from>
                <xdr:col>11</xdr:col>
                <xdr:colOff>869950</xdr:colOff>
                <xdr:row>22</xdr:row>
                <xdr:rowOff>0</xdr:rowOff>
              </from>
              <to>
                <xdr:col>12</xdr:col>
                <xdr:colOff>635000</xdr:colOff>
                <xdr:row>23</xdr:row>
                <xdr:rowOff>6350</xdr:rowOff>
              </to>
            </anchor>
          </controlPr>
        </control>
      </mc:Choice>
      <mc:Fallback>
        <control shapeId="3262" r:id="rId173" name="CheckBox26"/>
      </mc:Fallback>
    </mc:AlternateContent>
    <mc:AlternateContent xmlns:mc="http://schemas.openxmlformats.org/markup-compatibility/2006">
      <mc:Choice Requires="x14">
        <control shapeId="3263" r:id="rId175" name="CheckBox27">
          <controlPr defaultSize="0" disabled="1" autoFill="0" autoLine="0" r:id="rId176">
            <anchor moveWithCells="1">
              <from>
                <xdr:col>11</xdr:col>
                <xdr:colOff>850900</xdr:colOff>
                <xdr:row>25</xdr:row>
                <xdr:rowOff>222250</xdr:rowOff>
              </from>
              <to>
                <xdr:col>12</xdr:col>
                <xdr:colOff>615950</xdr:colOff>
                <xdr:row>27</xdr:row>
                <xdr:rowOff>0</xdr:rowOff>
              </to>
            </anchor>
          </controlPr>
        </control>
      </mc:Choice>
      <mc:Fallback>
        <control shapeId="3263" r:id="rId175" name="CheckBox27"/>
      </mc:Fallback>
    </mc:AlternateContent>
    <mc:AlternateContent xmlns:mc="http://schemas.openxmlformats.org/markup-compatibility/2006">
      <mc:Choice Requires="x14">
        <control shapeId="3269" r:id="rId177" name="CommandButton30">
          <controlPr defaultSize="0" autoLine="0" autoPict="0" r:id="rId178">
            <anchor moveWithCells="1">
              <from>
                <xdr:col>3</xdr:col>
                <xdr:colOff>641350</xdr:colOff>
                <xdr:row>0</xdr:row>
                <xdr:rowOff>203200</xdr:rowOff>
              </from>
              <to>
                <xdr:col>4</xdr:col>
                <xdr:colOff>1333500</xdr:colOff>
                <xdr:row>0</xdr:row>
                <xdr:rowOff>533400</xdr:rowOff>
              </to>
            </anchor>
          </controlPr>
        </control>
      </mc:Choice>
      <mc:Fallback>
        <control shapeId="3269" r:id="rId177" name="CommandButton30"/>
      </mc:Fallback>
    </mc:AlternateContent>
    <mc:AlternateContent xmlns:mc="http://schemas.openxmlformats.org/markup-compatibility/2006">
      <mc:Choice Requires="x14">
        <control shapeId="3271" r:id="rId179" name="CommandButton32">
          <controlPr defaultSize="0" autoLine="0" autoPict="0" r:id="rId180">
            <anchor moveWithCells="1">
              <from>
                <xdr:col>7</xdr:col>
                <xdr:colOff>762000</xdr:colOff>
                <xdr:row>0</xdr:row>
                <xdr:rowOff>266700</xdr:rowOff>
              </from>
              <to>
                <xdr:col>8</xdr:col>
                <xdr:colOff>88900</xdr:colOff>
                <xdr:row>0</xdr:row>
                <xdr:rowOff>584200</xdr:rowOff>
              </to>
            </anchor>
          </controlPr>
        </control>
      </mc:Choice>
      <mc:Fallback>
        <control shapeId="3271" r:id="rId179" name="CommandButton32"/>
      </mc:Fallback>
    </mc:AlternateContent>
    <mc:AlternateContent xmlns:mc="http://schemas.openxmlformats.org/markup-compatibility/2006">
      <mc:Choice Requires="x14">
        <control shapeId="3277" r:id="rId181" name="CommandButton34">
          <controlPr defaultSize="0" autoLine="0" autoPict="0" r:id="rId182">
            <anchor moveWithCells="1">
              <from>
                <xdr:col>11</xdr:col>
                <xdr:colOff>279400</xdr:colOff>
                <xdr:row>0</xdr:row>
                <xdr:rowOff>266700</xdr:rowOff>
              </from>
              <to>
                <xdr:col>12</xdr:col>
                <xdr:colOff>152400</xdr:colOff>
                <xdr:row>0</xdr:row>
                <xdr:rowOff>571500</xdr:rowOff>
              </to>
            </anchor>
          </controlPr>
        </control>
      </mc:Choice>
      <mc:Fallback>
        <control shapeId="3277" r:id="rId181" name="CommandButton34"/>
      </mc:Fallback>
    </mc:AlternateContent>
    <mc:AlternateContent xmlns:mc="http://schemas.openxmlformats.org/markup-compatibility/2006">
      <mc:Choice Requires="x14">
        <control shapeId="3286" r:id="rId183" name="CommandButton40">
          <controlPr defaultSize="0" print="0" autoLine="0" r:id="rId184">
            <anchor moveWithCells="1">
              <from>
                <xdr:col>1</xdr:col>
                <xdr:colOff>1022350</xdr:colOff>
                <xdr:row>6</xdr:row>
                <xdr:rowOff>12700</xdr:rowOff>
              </from>
              <to>
                <xdr:col>1</xdr:col>
                <xdr:colOff>1206500</xdr:colOff>
                <xdr:row>6</xdr:row>
                <xdr:rowOff>215900</xdr:rowOff>
              </to>
            </anchor>
          </controlPr>
        </control>
      </mc:Choice>
      <mc:Fallback>
        <control shapeId="3286" r:id="rId183" name="CommandButton40"/>
      </mc:Fallback>
    </mc:AlternateContent>
    <mc:AlternateContent xmlns:mc="http://schemas.openxmlformats.org/markup-compatibility/2006">
      <mc:Choice Requires="x14">
        <control shapeId="3287" r:id="rId185" name="CheckBox28">
          <controlPr defaultSize="0" disabled="1" autoFill="0" autoLine="0" r:id="rId186">
            <anchor moveWithCells="1">
              <from>
                <xdr:col>9</xdr:col>
                <xdr:colOff>571500</xdr:colOff>
                <xdr:row>6</xdr:row>
                <xdr:rowOff>12700</xdr:rowOff>
              </from>
              <to>
                <xdr:col>10</xdr:col>
                <xdr:colOff>457200</xdr:colOff>
                <xdr:row>7</xdr:row>
                <xdr:rowOff>38100</xdr:rowOff>
              </to>
            </anchor>
          </controlPr>
        </control>
      </mc:Choice>
      <mc:Fallback>
        <control shapeId="3287" r:id="rId185" name="CheckBox28"/>
      </mc:Fallback>
    </mc:AlternateContent>
    <mc:AlternateContent xmlns:mc="http://schemas.openxmlformats.org/markup-compatibility/2006">
      <mc:Choice Requires="x14">
        <control shapeId="3288" r:id="rId187" name="CheckBox29">
          <controlPr defaultSize="0" disabled="1" autoFill="0" autoLine="0" r:id="rId188">
            <anchor moveWithCells="1">
              <from>
                <xdr:col>10</xdr:col>
                <xdr:colOff>571500</xdr:colOff>
                <xdr:row>6</xdr:row>
                <xdr:rowOff>12700</xdr:rowOff>
              </from>
              <to>
                <xdr:col>12</xdr:col>
                <xdr:colOff>527050</xdr:colOff>
                <xdr:row>7</xdr:row>
                <xdr:rowOff>38100</xdr:rowOff>
              </to>
            </anchor>
          </controlPr>
        </control>
      </mc:Choice>
      <mc:Fallback>
        <control shapeId="3288" r:id="rId187" name="CheckBox29"/>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FFCC"/>
    <pageSetUpPr fitToPage="1"/>
  </sheetPr>
  <dimension ref="A1:M30"/>
  <sheetViews>
    <sheetView workbookViewId="0">
      <selection activeCell="G24" sqref="G24"/>
    </sheetView>
  </sheetViews>
  <sheetFormatPr defaultRowHeight="12.5" x14ac:dyDescent="0.25"/>
  <cols>
    <col min="1" max="1" width="14.81640625" style="133" bestFit="1" customWidth="1"/>
    <col min="2" max="5" width="9.1796875" style="133"/>
    <col min="6" max="6" width="13.81640625" style="133" bestFit="1" customWidth="1"/>
    <col min="7" max="9" width="10.7265625" style="133" customWidth="1"/>
    <col min="10" max="10" width="14" style="133" bestFit="1" customWidth="1"/>
    <col min="11" max="11" width="16.453125" style="133" customWidth="1"/>
    <col min="12" max="12" width="9.1796875" style="133" hidden="1" customWidth="1"/>
    <col min="13" max="13" width="7.453125" style="133" hidden="1" customWidth="1"/>
    <col min="14" max="259" width="9.1796875" style="133"/>
    <col min="260" max="260" width="14.81640625" style="133" bestFit="1" customWidth="1"/>
    <col min="261" max="265" width="9.1796875" style="133"/>
    <col min="266" max="266" width="14" style="133" bestFit="1" customWidth="1"/>
    <col min="267" max="267" width="11.7265625" style="133" bestFit="1" customWidth="1"/>
    <col min="268" max="269" width="0" style="133" hidden="1" customWidth="1"/>
    <col min="270" max="515" width="9.1796875" style="133"/>
    <col min="516" max="516" width="14.81640625" style="133" bestFit="1" customWidth="1"/>
    <col min="517" max="521" width="9.1796875" style="133"/>
    <col min="522" max="522" width="14" style="133" bestFit="1" customWidth="1"/>
    <col min="523" max="523" width="11.7265625" style="133" bestFit="1" customWidth="1"/>
    <col min="524" max="525" width="0" style="133" hidden="1" customWidth="1"/>
    <col min="526" max="771" width="9.1796875" style="133"/>
    <col min="772" max="772" width="14.81640625" style="133" bestFit="1" customWidth="1"/>
    <col min="773" max="777" width="9.1796875" style="133"/>
    <col min="778" max="778" width="14" style="133" bestFit="1" customWidth="1"/>
    <col min="779" max="779" width="11.7265625" style="133" bestFit="1" customWidth="1"/>
    <col min="780" max="781" width="0" style="133" hidden="1" customWidth="1"/>
    <col min="782" max="1027" width="9.1796875" style="133"/>
    <col min="1028" max="1028" width="14.81640625" style="133" bestFit="1" customWidth="1"/>
    <col min="1029" max="1033" width="9.1796875" style="133"/>
    <col min="1034" max="1034" width="14" style="133" bestFit="1" customWidth="1"/>
    <col min="1035" max="1035" width="11.7265625" style="133" bestFit="1" customWidth="1"/>
    <col min="1036" max="1037" width="0" style="133" hidden="1" customWidth="1"/>
    <col min="1038" max="1283" width="9.1796875" style="133"/>
    <col min="1284" max="1284" width="14.81640625" style="133" bestFit="1" customWidth="1"/>
    <col min="1285" max="1289" width="9.1796875" style="133"/>
    <col min="1290" max="1290" width="14" style="133" bestFit="1" customWidth="1"/>
    <col min="1291" max="1291" width="11.7265625" style="133" bestFit="1" customWidth="1"/>
    <col min="1292" max="1293" width="0" style="133" hidden="1" customWidth="1"/>
    <col min="1294" max="1539" width="9.1796875" style="133"/>
    <col min="1540" max="1540" width="14.81640625" style="133" bestFit="1" customWidth="1"/>
    <col min="1541" max="1545" width="9.1796875" style="133"/>
    <col min="1546" max="1546" width="14" style="133" bestFit="1" customWidth="1"/>
    <col min="1547" max="1547" width="11.7265625" style="133" bestFit="1" customWidth="1"/>
    <col min="1548" max="1549" width="0" style="133" hidden="1" customWidth="1"/>
    <col min="1550" max="1795" width="9.1796875" style="133"/>
    <col min="1796" max="1796" width="14.81640625" style="133" bestFit="1" customWidth="1"/>
    <col min="1797" max="1801" width="9.1796875" style="133"/>
    <col min="1802" max="1802" width="14" style="133" bestFit="1" customWidth="1"/>
    <col min="1803" max="1803" width="11.7265625" style="133" bestFit="1" customWidth="1"/>
    <col min="1804" max="1805" width="0" style="133" hidden="1" customWidth="1"/>
    <col min="1806" max="2051" width="9.1796875" style="133"/>
    <col min="2052" max="2052" width="14.81640625" style="133" bestFit="1" customWidth="1"/>
    <col min="2053" max="2057" width="9.1796875" style="133"/>
    <col min="2058" max="2058" width="14" style="133" bestFit="1" customWidth="1"/>
    <col min="2059" max="2059" width="11.7265625" style="133" bestFit="1" customWidth="1"/>
    <col min="2060" max="2061" width="0" style="133" hidden="1" customWidth="1"/>
    <col min="2062" max="2307" width="9.1796875" style="133"/>
    <col min="2308" max="2308" width="14.81640625" style="133" bestFit="1" customWidth="1"/>
    <col min="2309" max="2313" width="9.1796875" style="133"/>
    <col min="2314" max="2314" width="14" style="133" bestFit="1" customWidth="1"/>
    <col min="2315" max="2315" width="11.7265625" style="133" bestFit="1" customWidth="1"/>
    <col min="2316" max="2317" width="0" style="133" hidden="1" customWidth="1"/>
    <col min="2318" max="2563" width="9.1796875" style="133"/>
    <col min="2564" max="2564" width="14.81640625" style="133" bestFit="1" customWidth="1"/>
    <col min="2565" max="2569" width="9.1796875" style="133"/>
    <col min="2570" max="2570" width="14" style="133" bestFit="1" customWidth="1"/>
    <col min="2571" max="2571" width="11.7265625" style="133" bestFit="1" customWidth="1"/>
    <col min="2572" max="2573" width="0" style="133" hidden="1" customWidth="1"/>
    <col min="2574" max="2819" width="9.1796875" style="133"/>
    <col min="2820" max="2820" width="14.81640625" style="133" bestFit="1" customWidth="1"/>
    <col min="2821" max="2825" width="9.1796875" style="133"/>
    <col min="2826" max="2826" width="14" style="133" bestFit="1" customWidth="1"/>
    <col min="2827" max="2827" width="11.7265625" style="133" bestFit="1" customWidth="1"/>
    <col min="2828" max="2829" width="0" style="133" hidden="1" customWidth="1"/>
    <col min="2830" max="3075" width="9.1796875" style="133"/>
    <col min="3076" max="3076" width="14.81640625" style="133" bestFit="1" customWidth="1"/>
    <col min="3077" max="3081" width="9.1796875" style="133"/>
    <col min="3082" max="3082" width="14" style="133" bestFit="1" customWidth="1"/>
    <col min="3083" max="3083" width="11.7265625" style="133" bestFit="1" customWidth="1"/>
    <col min="3084" max="3085" width="0" style="133" hidden="1" customWidth="1"/>
    <col min="3086" max="3331" width="9.1796875" style="133"/>
    <col min="3332" max="3332" width="14.81640625" style="133" bestFit="1" customWidth="1"/>
    <col min="3333" max="3337" width="9.1796875" style="133"/>
    <col min="3338" max="3338" width="14" style="133" bestFit="1" customWidth="1"/>
    <col min="3339" max="3339" width="11.7265625" style="133" bestFit="1" customWidth="1"/>
    <col min="3340" max="3341" width="0" style="133" hidden="1" customWidth="1"/>
    <col min="3342" max="3587" width="9.1796875" style="133"/>
    <col min="3588" max="3588" width="14.81640625" style="133" bestFit="1" customWidth="1"/>
    <col min="3589" max="3593" width="9.1796875" style="133"/>
    <col min="3594" max="3594" width="14" style="133" bestFit="1" customWidth="1"/>
    <col min="3595" max="3595" width="11.7265625" style="133" bestFit="1" customWidth="1"/>
    <col min="3596" max="3597" width="0" style="133" hidden="1" customWidth="1"/>
    <col min="3598" max="3843" width="9.1796875" style="133"/>
    <col min="3844" max="3844" width="14.81640625" style="133" bestFit="1" customWidth="1"/>
    <col min="3845" max="3849" width="9.1796875" style="133"/>
    <col min="3850" max="3850" width="14" style="133" bestFit="1" customWidth="1"/>
    <col min="3851" max="3851" width="11.7265625" style="133" bestFit="1" customWidth="1"/>
    <col min="3852" max="3853" width="0" style="133" hidden="1" customWidth="1"/>
    <col min="3854" max="4099" width="9.1796875" style="133"/>
    <col min="4100" max="4100" width="14.81640625" style="133" bestFit="1" customWidth="1"/>
    <col min="4101" max="4105" width="9.1796875" style="133"/>
    <col min="4106" max="4106" width="14" style="133" bestFit="1" customWidth="1"/>
    <col min="4107" max="4107" width="11.7265625" style="133" bestFit="1" customWidth="1"/>
    <col min="4108" max="4109" width="0" style="133" hidden="1" customWidth="1"/>
    <col min="4110" max="4355" width="9.1796875" style="133"/>
    <col min="4356" max="4356" width="14.81640625" style="133" bestFit="1" customWidth="1"/>
    <col min="4357" max="4361" width="9.1796875" style="133"/>
    <col min="4362" max="4362" width="14" style="133" bestFit="1" customWidth="1"/>
    <col min="4363" max="4363" width="11.7265625" style="133" bestFit="1" customWidth="1"/>
    <col min="4364" max="4365" width="0" style="133" hidden="1" customWidth="1"/>
    <col min="4366" max="4611" width="9.1796875" style="133"/>
    <col min="4612" max="4612" width="14.81640625" style="133" bestFit="1" customWidth="1"/>
    <col min="4613" max="4617" width="9.1796875" style="133"/>
    <col min="4618" max="4618" width="14" style="133" bestFit="1" customWidth="1"/>
    <col min="4619" max="4619" width="11.7265625" style="133" bestFit="1" customWidth="1"/>
    <col min="4620" max="4621" width="0" style="133" hidden="1" customWidth="1"/>
    <col min="4622" max="4867" width="9.1796875" style="133"/>
    <col min="4868" max="4868" width="14.81640625" style="133" bestFit="1" customWidth="1"/>
    <col min="4869" max="4873" width="9.1796875" style="133"/>
    <col min="4874" max="4874" width="14" style="133" bestFit="1" customWidth="1"/>
    <col min="4875" max="4875" width="11.7265625" style="133" bestFit="1" customWidth="1"/>
    <col min="4876" max="4877" width="0" style="133" hidden="1" customWidth="1"/>
    <col min="4878" max="5123" width="9.1796875" style="133"/>
    <col min="5124" max="5124" width="14.81640625" style="133" bestFit="1" customWidth="1"/>
    <col min="5125" max="5129" width="9.1796875" style="133"/>
    <col min="5130" max="5130" width="14" style="133" bestFit="1" customWidth="1"/>
    <col min="5131" max="5131" width="11.7265625" style="133" bestFit="1" customWidth="1"/>
    <col min="5132" max="5133" width="0" style="133" hidden="1" customWidth="1"/>
    <col min="5134" max="5379" width="9.1796875" style="133"/>
    <col min="5380" max="5380" width="14.81640625" style="133" bestFit="1" customWidth="1"/>
    <col min="5381" max="5385" width="9.1796875" style="133"/>
    <col min="5386" max="5386" width="14" style="133" bestFit="1" customWidth="1"/>
    <col min="5387" max="5387" width="11.7265625" style="133" bestFit="1" customWidth="1"/>
    <col min="5388" max="5389" width="0" style="133" hidden="1" customWidth="1"/>
    <col min="5390" max="5635" width="9.1796875" style="133"/>
    <col min="5636" max="5636" width="14.81640625" style="133" bestFit="1" customWidth="1"/>
    <col min="5637" max="5641" width="9.1796875" style="133"/>
    <col min="5642" max="5642" width="14" style="133" bestFit="1" customWidth="1"/>
    <col min="5643" max="5643" width="11.7265625" style="133" bestFit="1" customWidth="1"/>
    <col min="5644" max="5645" width="0" style="133" hidden="1" customWidth="1"/>
    <col min="5646" max="5891" width="9.1796875" style="133"/>
    <col min="5892" max="5892" width="14.81640625" style="133" bestFit="1" customWidth="1"/>
    <col min="5893" max="5897" width="9.1796875" style="133"/>
    <col min="5898" max="5898" width="14" style="133" bestFit="1" customWidth="1"/>
    <col min="5899" max="5899" width="11.7265625" style="133" bestFit="1" customWidth="1"/>
    <col min="5900" max="5901" width="0" style="133" hidden="1" customWidth="1"/>
    <col min="5902" max="6147" width="9.1796875" style="133"/>
    <col min="6148" max="6148" width="14.81640625" style="133" bestFit="1" customWidth="1"/>
    <col min="6149" max="6153" width="9.1796875" style="133"/>
    <col min="6154" max="6154" width="14" style="133" bestFit="1" customWidth="1"/>
    <col min="6155" max="6155" width="11.7265625" style="133" bestFit="1" customWidth="1"/>
    <col min="6156" max="6157" width="0" style="133" hidden="1" customWidth="1"/>
    <col min="6158" max="6403" width="9.1796875" style="133"/>
    <col min="6404" max="6404" width="14.81640625" style="133" bestFit="1" customWidth="1"/>
    <col min="6405" max="6409" width="9.1796875" style="133"/>
    <col min="6410" max="6410" width="14" style="133" bestFit="1" customWidth="1"/>
    <col min="6411" max="6411" width="11.7265625" style="133" bestFit="1" customWidth="1"/>
    <col min="6412" max="6413" width="0" style="133" hidden="1" customWidth="1"/>
    <col min="6414" max="6659" width="9.1796875" style="133"/>
    <col min="6660" max="6660" width="14.81640625" style="133" bestFit="1" customWidth="1"/>
    <col min="6661" max="6665" width="9.1796875" style="133"/>
    <col min="6666" max="6666" width="14" style="133" bestFit="1" customWidth="1"/>
    <col min="6667" max="6667" width="11.7265625" style="133" bestFit="1" customWidth="1"/>
    <col min="6668" max="6669" width="0" style="133" hidden="1" customWidth="1"/>
    <col min="6670" max="6915" width="9.1796875" style="133"/>
    <col min="6916" max="6916" width="14.81640625" style="133" bestFit="1" customWidth="1"/>
    <col min="6917" max="6921" width="9.1796875" style="133"/>
    <col min="6922" max="6922" width="14" style="133" bestFit="1" customWidth="1"/>
    <col min="6923" max="6923" width="11.7265625" style="133" bestFit="1" customWidth="1"/>
    <col min="6924" max="6925" width="0" style="133" hidden="1" customWidth="1"/>
    <col min="6926" max="7171" width="9.1796875" style="133"/>
    <col min="7172" max="7172" width="14.81640625" style="133" bestFit="1" customWidth="1"/>
    <col min="7173" max="7177" width="9.1796875" style="133"/>
    <col min="7178" max="7178" width="14" style="133" bestFit="1" customWidth="1"/>
    <col min="7179" max="7179" width="11.7265625" style="133" bestFit="1" customWidth="1"/>
    <col min="7180" max="7181" width="0" style="133" hidden="1" customWidth="1"/>
    <col min="7182" max="7427" width="9.1796875" style="133"/>
    <col min="7428" max="7428" width="14.81640625" style="133" bestFit="1" customWidth="1"/>
    <col min="7429" max="7433" width="9.1796875" style="133"/>
    <col min="7434" max="7434" width="14" style="133" bestFit="1" customWidth="1"/>
    <col min="7435" max="7435" width="11.7265625" style="133" bestFit="1" customWidth="1"/>
    <col min="7436" max="7437" width="0" style="133" hidden="1" customWidth="1"/>
    <col min="7438" max="7683" width="9.1796875" style="133"/>
    <col min="7684" max="7684" width="14.81640625" style="133" bestFit="1" customWidth="1"/>
    <col min="7685" max="7689" width="9.1796875" style="133"/>
    <col min="7690" max="7690" width="14" style="133" bestFit="1" customWidth="1"/>
    <col min="7691" max="7691" width="11.7265625" style="133" bestFit="1" customWidth="1"/>
    <col min="7692" max="7693" width="0" style="133" hidden="1" customWidth="1"/>
    <col min="7694" max="7939" width="9.1796875" style="133"/>
    <col min="7940" max="7940" width="14.81640625" style="133" bestFit="1" customWidth="1"/>
    <col min="7941" max="7945" width="9.1796875" style="133"/>
    <col min="7946" max="7946" width="14" style="133" bestFit="1" customWidth="1"/>
    <col min="7947" max="7947" width="11.7265625" style="133" bestFit="1" customWidth="1"/>
    <col min="7948" max="7949" width="0" style="133" hidden="1" customWidth="1"/>
    <col min="7950" max="8195" width="9.1796875" style="133"/>
    <col min="8196" max="8196" width="14.81640625" style="133" bestFit="1" customWidth="1"/>
    <col min="8197" max="8201" width="9.1796875" style="133"/>
    <col min="8202" max="8202" width="14" style="133" bestFit="1" customWidth="1"/>
    <col min="8203" max="8203" width="11.7265625" style="133" bestFit="1" customWidth="1"/>
    <col min="8204" max="8205" width="0" style="133" hidden="1" customWidth="1"/>
    <col min="8206" max="8451" width="9.1796875" style="133"/>
    <col min="8452" max="8452" width="14.81640625" style="133" bestFit="1" customWidth="1"/>
    <col min="8453" max="8457" width="9.1796875" style="133"/>
    <col min="8458" max="8458" width="14" style="133" bestFit="1" customWidth="1"/>
    <col min="8459" max="8459" width="11.7265625" style="133" bestFit="1" customWidth="1"/>
    <col min="8460" max="8461" width="0" style="133" hidden="1" customWidth="1"/>
    <col min="8462" max="8707" width="9.1796875" style="133"/>
    <col min="8708" max="8708" width="14.81640625" style="133" bestFit="1" customWidth="1"/>
    <col min="8709" max="8713" width="9.1796875" style="133"/>
    <col min="8714" max="8714" width="14" style="133" bestFit="1" customWidth="1"/>
    <col min="8715" max="8715" width="11.7265625" style="133" bestFit="1" customWidth="1"/>
    <col min="8716" max="8717" width="0" style="133" hidden="1" customWidth="1"/>
    <col min="8718" max="8963" width="9.1796875" style="133"/>
    <col min="8964" max="8964" width="14.81640625" style="133" bestFit="1" customWidth="1"/>
    <col min="8965" max="8969" width="9.1796875" style="133"/>
    <col min="8970" max="8970" width="14" style="133" bestFit="1" customWidth="1"/>
    <col min="8971" max="8971" width="11.7265625" style="133" bestFit="1" customWidth="1"/>
    <col min="8972" max="8973" width="0" style="133" hidden="1" customWidth="1"/>
    <col min="8974" max="9219" width="9.1796875" style="133"/>
    <col min="9220" max="9220" width="14.81640625" style="133" bestFit="1" customWidth="1"/>
    <col min="9221" max="9225" width="9.1796875" style="133"/>
    <col min="9226" max="9226" width="14" style="133" bestFit="1" customWidth="1"/>
    <col min="9227" max="9227" width="11.7265625" style="133" bestFit="1" customWidth="1"/>
    <col min="9228" max="9229" width="0" style="133" hidden="1" customWidth="1"/>
    <col min="9230" max="9475" width="9.1796875" style="133"/>
    <col min="9476" max="9476" width="14.81640625" style="133" bestFit="1" customWidth="1"/>
    <col min="9477" max="9481" width="9.1796875" style="133"/>
    <col min="9482" max="9482" width="14" style="133" bestFit="1" customWidth="1"/>
    <col min="9483" max="9483" width="11.7265625" style="133" bestFit="1" customWidth="1"/>
    <col min="9484" max="9485" width="0" style="133" hidden="1" customWidth="1"/>
    <col min="9486" max="9731" width="9.1796875" style="133"/>
    <col min="9732" max="9732" width="14.81640625" style="133" bestFit="1" customWidth="1"/>
    <col min="9733" max="9737" width="9.1796875" style="133"/>
    <col min="9738" max="9738" width="14" style="133" bestFit="1" customWidth="1"/>
    <col min="9739" max="9739" width="11.7265625" style="133" bestFit="1" customWidth="1"/>
    <col min="9740" max="9741" width="0" style="133" hidden="1" customWidth="1"/>
    <col min="9742" max="9987" width="9.1796875" style="133"/>
    <col min="9988" max="9988" width="14.81640625" style="133" bestFit="1" customWidth="1"/>
    <col min="9989" max="9993" width="9.1796875" style="133"/>
    <col min="9994" max="9994" width="14" style="133" bestFit="1" customWidth="1"/>
    <col min="9995" max="9995" width="11.7265625" style="133" bestFit="1" customWidth="1"/>
    <col min="9996" max="9997" width="0" style="133" hidden="1" customWidth="1"/>
    <col min="9998" max="10243" width="9.1796875" style="133"/>
    <col min="10244" max="10244" width="14.81640625" style="133" bestFit="1" customWidth="1"/>
    <col min="10245" max="10249" width="9.1796875" style="133"/>
    <col min="10250" max="10250" width="14" style="133" bestFit="1" customWidth="1"/>
    <col min="10251" max="10251" width="11.7265625" style="133" bestFit="1" customWidth="1"/>
    <col min="10252" max="10253" width="0" style="133" hidden="1" customWidth="1"/>
    <col min="10254" max="10499" width="9.1796875" style="133"/>
    <col min="10500" max="10500" width="14.81640625" style="133" bestFit="1" customWidth="1"/>
    <col min="10501" max="10505" width="9.1796875" style="133"/>
    <col min="10506" max="10506" width="14" style="133" bestFit="1" customWidth="1"/>
    <col min="10507" max="10507" width="11.7265625" style="133" bestFit="1" customWidth="1"/>
    <col min="10508" max="10509" width="0" style="133" hidden="1" customWidth="1"/>
    <col min="10510" max="10755" width="9.1796875" style="133"/>
    <col min="10756" max="10756" width="14.81640625" style="133" bestFit="1" customWidth="1"/>
    <col min="10757" max="10761" width="9.1796875" style="133"/>
    <col min="10762" max="10762" width="14" style="133" bestFit="1" customWidth="1"/>
    <col min="10763" max="10763" width="11.7265625" style="133" bestFit="1" customWidth="1"/>
    <col min="10764" max="10765" width="0" style="133" hidden="1" customWidth="1"/>
    <col min="10766" max="11011" width="9.1796875" style="133"/>
    <col min="11012" max="11012" width="14.81640625" style="133" bestFit="1" customWidth="1"/>
    <col min="11013" max="11017" width="9.1796875" style="133"/>
    <col min="11018" max="11018" width="14" style="133" bestFit="1" customWidth="1"/>
    <col min="11019" max="11019" width="11.7265625" style="133" bestFit="1" customWidth="1"/>
    <col min="11020" max="11021" width="0" style="133" hidden="1" customWidth="1"/>
    <col min="11022" max="11267" width="9.1796875" style="133"/>
    <col min="11268" max="11268" width="14.81640625" style="133" bestFit="1" customWidth="1"/>
    <col min="11269" max="11273" width="9.1796875" style="133"/>
    <col min="11274" max="11274" width="14" style="133" bestFit="1" customWidth="1"/>
    <col min="11275" max="11275" width="11.7265625" style="133" bestFit="1" customWidth="1"/>
    <col min="11276" max="11277" width="0" style="133" hidden="1" customWidth="1"/>
    <col min="11278" max="11523" width="9.1796875" style="133"/>
    <col min="11524" max="11524" width="14.81640625" style="133" bestFit="1" customWidth="1"/>
    <col min="11525" max="11529" width="9.1796875" style="133"/>
    <col min="11530" max="11530" width="14" style="133" bestFit="1" customWidth="1"/>
    <col min="11531" max="11531" width="11.7265625" style="133" bestFit="1" customWidth="1"/>
    <col min="11532" max="11533" width="0" style="133" hidden="1" customWidth="1"/>
    <col min="11534" max="11779" width="9.1796875" style="133"/>
    <col min="11780" max="11780" width="14.81640625" style="133" bestFit="1" customWidth="1"/>
    <col min="11781" max="11785" width="9.1796875" style="133"/>
    <col min="11786" max="11786" width="14" style="133" bestFit="1" customWidth="1"/>
    <col min="11787" max="11787" width="11.7265625" style="133" bestFit="1" customWidth="1"/>
    <col min="11788" max="11789" width="0" style="133" hidden="1" customWidth="1"/>
    <col min="11790" max="12035" width="9.1796875" style="133"/>
    <col min="12036" max="12036" width="14.81640625" style="133" bestFit="1" customWidth="1"/>
    <col min="12037" max="12041" width="9.1796875" style="133"/>
    <col min="12042" max="12042" width="14" style="133" bestFit="1" customWidth="1"/>
    <col min="12043" max="12043" width="11.7265625" style="133" bestFit="1" customWidth="1"/>
    <col min="12044" max="12045" width="0" style="133" hidden="1" customWidth="1"/>
    <col min="12046" max="12291" width="9.1796875" style="133"/>
    <col min="12292" max="12292" width="14.81640625" style="133" bestFit="1" customWidth="1"/>
    <col min="12293" max="12297" width="9.1796875" style="133"/>
    <col min="12298" max="12298" width="14" style="133" bestFit="1" customWidth="1"/>
    <col min="12299" max="12299" width="11.7265625" style="133" bestFit="1" customWidth="1"/>
    <col min="12300" max="12301" width="0" style="133" hidden="1" customWidth="1"/>
    <col min="12302" max="12547" width="9.1796875" style="133"/>
    <col min="12548" max="12548" width="14.81640625" style="133" bestFit="1" customWidth="1"/>
    <col min="12549" max="12553" width="9.1796875" style="133"/>
    <col min="12554" max="12554" width="14" style="133" bestFit="1" customWidth="1"/>
    <col min="12555" max="12555" width="11.7265625" style="133" bestFit="1" customWidth="1"/>
    <col min="12556" max="12557" width="0" style="133" hidden="1" customWidth="1"/>
    <col min="12558" max="12803" width="9.1796875" style="133"/>
    <col min="12804" max="12804" width="14.81640625" style="133" bestFit="1" customWidth="1"/>
    <col min="12805" max="12809" width="9.1796875" style="133"/>
    <col min="12810" max="12810" width="14" style="133" bestFit="1" customWidth="1"/>
    <col min="12811" max="12811" width="11.7265625" style="133" bestFit="1" customWidth="1"/>
    <col min="12812" max="12813" width="0" style="133" hidden="1" customWidth="1"/>
    <col min="12814" max="13059" width="9.1796875" style="133"/>
    <col min="13060" max="13060" width="14.81640625" style="133" bestFit="1" customWidth="1"/>
    <col min="13061" max="13065" width="9.1796875" style="133"/>
    <col min="13066" max="13066" width="14" style="133" bestFit="1" customWidth="1"/>
    <col min="13067" max="13067" width="11.7265625" style="133" bestFit="1" customWidth="1"/>
    <col min="13068" max="13069" width="0" style="133" hidden="1" customWidth="1"/>
    <col min="13070" max="13315" width="9.1796875" style="133"/>
    <col min="13316" max="13316" width="14.81640625" style="133" bestFit="1" customWidth="1"/>
    <col min="13317" max="13321" width="9.1796875" style="133"/>
    <col min="13322" max="13322" width="14" style="133" bestFit="1" customWidth="1"/>
    <col min="13323" max="13323" width="11.7265625" style="133" bestFit="1" customWidth="1"/>
    <col min="13324" max="13325" width="0" style="133" hidden="1" customWidth="1"/>
    <col min="13326" max="13571" width="9.1796875" style="133"/>
    <col min="13572" max="13572" width="14.81640625" style="133" bestFit="1" customWidth="1"/>
    <col min="13573" max="13577" width="9.1796875" style="133"/>
    <col min="13578" max="13578" width="14" style="133" bestFit="1" customWidth="1"/>
    <col min="13579" max="13579" width="11.7265625" style="133" bestFit="1" customWidth="1"/>
    <col min="13580" max="13581" width="0" style="133" hidden="1" customWidth="1"/>
    <col min="13582" max="13827" width="9.1796875" style="133"/>
    <col min="13828" max="13828" width="14.81640625" style="133" bestFit="1" customWidth="1"/>
    <col min="13829" max="13833" width="9.1796875" style="133"/>
    <col min="13834" max="13834" width="14" style="133" bestFit="1" customWidth="1"/>
    <col min="13835" max="13835" width="11.7265625" style="133" bestFit="1" customWidth="1"/>
    <col min="13836" max="13837" width="0" style="133" hidden="1" customWidth="1"/>
    <col min="13838" max="14083" width="9.1796875" style="133"/>
    <col min="14084" max="14084" width="14.81640625" style="133" bestFit="1" customWidth="1"/>
    <col min="14085" max="14089" width="9.1796875" style="133"/>
    <col min="14090" max="14090" width="14" style="133" bestFit="1" customWidth="1"/>
    <col min="14091" max="14091" width="11.7265625" style="133" bestFit="1" customWidth="1"/>
    <col min="14092" max="14093" width="0" style="133" hidden="1" customWidth="1"/>
    <col min="14094" max="14339" width="9.1796875" style="133"/>
    <col min="14340" max="14340" width="14.81640625" style="133" bestFit="1" customWidth="1"/>
    <col min="14341" max="14345" width="9.1796875" style="133"/>
    <col min="14346" max="14346" width="14" style="133" bestFit="1" customWidth="1"/>
    <col min="14347" max="14347" width="11.7265625" style="133" bestFit="1" customWidth="1"/>
    <col min="14348" max="14349" width="0" style="133" hidden="1" customWidth="1"/>
    <col min="14350" max="14595" width="9.1796875" style="133"/>
    <col min="14596" max="14596" width="14.81640625" style="133" bestFit="1" customWidth="1"/>
    <col min="14597" max="14601" width="9.1796875" style="133"/>
    <col min="14602" max="14602" width="14" style="133" bestFit="1" customWidth="1"/>
    <col min="14603" max="14603" width="11.7265625" style="133" bestFit="1" customWidth="1"/>
    <col min="14604" max="14605" width="0" style="133" hidden="1" customWidth="1"/>
    <col min="14606" max="14851" width="9.1796875" style="133"/>
    <col min="14852" max="14852" width="14.81640625" style="133" bestFit="1" customWidth="1"/>
    <col min="14853" max="14857" width="9.1796875" style="133"/>
    <col min="14858" max="14858" width="14" style="133" bestFit="1" customWidth="1"/>
    <col min="14859" max="14859" width="11.7265625" style="133" bestFit="1" customWidth="1"/>
    <col min="14860" max="14861" width="0" style="133" hidden="1" customWidth="1"/>
    <col min="14862" max="15107" width="9.1796875" style="133"/>
    <col min="15108" max="15108" width="14.81640625" style="133" bestFit="1" customWidth="1"/>
    <col min="15109" max="15113" width="9.1796875" style="133"/>
    <col min="15114" max="15114" width="14" style="133" bestFit="1" customWidth="1"/>
    <col min="15115" max="15115" width="11.7265625" style="133" bestFit="1" customWidth="1"/>
    <col min="15116" max="15117" width="0" style="133" hidden="1" customWidth="1"/>
    <col min="15118" max="15363" width="9.1796875" style="133"/>
    <col min="15364" max="15364" width="14.81640625" style="133" bestFit="1" customWidth="1"/>
    <col min="15365" max="15369" width="9.1796875" style="133"/>
    <col min="15370" max="15370" width="14" style="133" bestFit="1" customWidth="1"/>
    <col min="15371" max="15371" width="11.7265625" style="133" bestFit="1" customWidth="1"/>
    <col min="15372" max="15373" width="0" style="133" hidden="1" customWidth="1"/>
    <col min="15374" max="15619" width="9.1796875" style="133"/>
    <col min="15620" max="15620" width="14.81640625" style="133" bestFit="1" customWidth="1"/>
    <col min="15621" max="15625" width="9.1796875" style="133"/>
    <col min="15626" max="15626" width="14" style="133" bestFit="1" customWidth="1"/>
    <col min="15627" max="15627" width="11.7265625" style="133" bestFit="1" customWidth="1"/>
    <col min="15628" max="15629" width="0" style="133" hidden="1" customWidth="1"/>
    <col min="15630" max="15875" width="9.1796875" style="133"/>
    <col min="15876" max="15876" width="14.81640625" style="133" bestFit="1" customWidth="1"/>
    <col min="15877" max="15881" width="9.1796875" style="133"/>
    <col min="15882" max="15882" width="14" style="133" bestFit="1" customWidth="1"/>
    <col min="15883" max="15883" width="11.7265625" style="133" bestFit="1" customWidth="1"/>
    <col min="15884" max="15885" width="0" style="133" hidden="1" customWidth="1"/>
    <col min="15886" max="16131" width="9.1796875" style="133"/>
    <col min="16132" max="16132" width="14.81640625" style="133" bestFit="1" customWidth="1"/>
    <col min="16133" max="16137" width="9.1796875" style="133"/>
    <col min="16138" max="16138" width="14" style="133" bestFit="1" customWidth="1"/>
    <col min="16139" max="16139" width="11.7265625" style="133" bestFit="1" customWidth="1"/>
    <col min="16140" max="16141" width="0" style="133" hidden="1" customWidth="1"/>
    <col min="16142" max="16384" width="9.1796875" style="133"/>
  </cols>
  <sheetData>
    <row r="1" spans="1:13" ht="15.75" customHeight="1" x14ac:dyDescent="0.35">
      <c r="A1" s="489" t="s">
        <v>306</v>
      </c>
      <c r="B1" s="490"/>
      <c r="C1" s="490"/>
      <c r="D1" s="490"/>
      <c r="E1" s="490"/>
      <c r="F1" s="490"/>
      <c r="G1" s="490"/>
      <c r="H1" s="490"/>
      <c r="I1" s="490"/>
      <c r="J1" s="490"/>
      <c r="K1" s="491"/>
    </row>
    <row r="2" spans="1:13" ht="15.75" customHeight="1" x14ac:dyDescent="0.3">
      <c r="A2" s="134" t="s">
        <v>169</v>
      </c>
      <c r="B2" s="135">
        <v>10</v>
      </c>
      <c r="C2" s="135">
        <v>20</v>
      </c>
      <c r="D2" s="135">
        <v>30</v>
      </c>
      <c r="E2" s="135">
        <v>40</v>
      </c>
      <c r="F2" s="135">
        <v>50</v>
      </c>
      <c r="G2" s="135">
        <v>60</v>
      </c>
      <c r="H2" s="135">
        <v>70</v>
      </c>
      <c r="I2" s="135">
        <v>80</v>
      </c>
      <c r="J2" s="136" t="s">
        <v>170</v>
      </c>
      <c r="K2" s="137" t="s">
        <v>171</v>
      </c>
      <c r="L2" s="138" t="s">
        <v>172</v>
      </c>
      <c r="M2" s="138" t="s">
        <v>173</v>
      </c>
    </row>
    <row r="3" spans="1:13" ht="15.75" customHeight="1" x14ac:dyDescent="0.25">
      <c r="A3" s="139" t="s">
        <v>174</v>
      </c>
      <c r="B3" s="140">
        <v>0.6</v>
      </c>
      <c r="C3" s="140">
        <v>0.75</v>
      </c>
      <c r="D3" s="140">
        <v>0.9</v>
      </c>
      <c r="E3" s="140">
        <v>1.17</v>
      </c>
      <c r="F3" s="140">
        <v>1.28</v>
      </c>
      <c r="G3" s="140">
        <v>1.47</v>
      </c>
      <c r="H3" s="140">
        <v>1.47</v>
      </c>
      <c r="I3" s="140">
        <v>2</v>
      </c>
      <c r="J3" s="140">
        <v>20</v>
      </c>
      <c r="K3" s="141">
        <v>50</v>
      </c>
      <c r="L3" s="133">
        <f>SLOPE(B3:F3,B$2:F$2)</f>
        <v>1.78E-2</v>
      </c>
      <c r="M3" s="133">
        <f>INTERCEPT(B3:F3,B$2:F$2)</f>
        <v>0.40600000000000003</v>
      </c>
    </row>
    <row r="4" spans="1:13" ht="15.75" customHeight="1" x14ac:dyDescent="0.25">
      <c r="A4" s="139" t="s">
        <v>175</v>
      </c>
      <c r="B4" s="140">
        <v>0.9</v>
      </c>
      <c r="C4" s="140">
        <v>0.9</v>
      </c>
      <c r="D4" s="140">
        <v>1.05</v>
      </c>
      <c r="E4" s="140">
        <v>1.1299999999999999</v>
      </c>
      <c r="F4" s="140">
        <v>1.2</v>
      </c>
      <c r="G4" s="140">
        <v>1.35</v>
      </c>
      <c r="H4" s="140">
        <v>1.5</v>
      </c>
      <c r="I4" s="140">
        <v>1.8</v>
      </c>
      <c r="J4" s="140">
        <v>28.5</v>
      </c>
      <c r="K4" s="141">
        <v>50</v>
      </c>
      <c r="L4" s="133">
        <f>SLOPE(B4:F4,B$2:F$2)</f>
        <v>8.2999999999999966E-3</v>
      </c>
      <c r="M4" s="133">
        <f>INTERCEPT(B4:F4,B$2:F$2)</f>
        <v>0.78700000000000014</v>
      </c>
    </row>
    <row r="5" spans="1:13" ht="15.75" customHeight="1" x14ac:dyDescent="0.25">
      <c r="A5" s="142" t="s">
        <v>74</v>
      </c>
      <c r="B5" s="143">
        <v>0.22</v>
      </c>
      <c r="C5" s="143"/>
      <c r="D5" s="143"/>
      <c r="E5" s="143"/>
      <c r="F5" s="143"/>
      <c r="G5" s="143"/>
      <c r="H5" s="143"/>
      <c r="I5" s="143"/>
      <c r="J5" s="143">
        <v>10</v>
      </c>
      <c r="K5" s="144">
        <v>45</v>
      </c>
      <c r="L5" s="133" t="e">
        <f>SLOPE(B5:F5,B$2:F$2)</f>
        <v>#DIV/0!</v>
      </c>
      <c r="M5" s="133" t="e">
        <f>INTERCEPT(B5:F5,B$2:F$2)</f>
        <v>#DIV/0!</v>
      </c>
    </row>
    <row r="6" spans="1:13" ht="15.75" customHeight="1" x14ac:dyDescent="0.25">
      <c r="A6" s="138"/>
      <c r="B6" s="138"/>
      <c r="C6" s="138"/>
      <c r="D6" s="138"/>
      <c r="E6" s="138"/>
      <c r="F6" s="138"/>
      <c r="G6" s="138"/>
      <c r="H6" s="138"/>
      <c r="I6" s="138"/>
      <c r="J6" s="138"/>
      <c r="K6" s="138"/>
    </row>
    <row r="7" spans="1:13" ht="15.75" customHeight="1" x14ac:dyDescent="0.3">
      <c r="A7" s="485" t="s">
        <v>176</v>
      </c>
      <c r="B7" s="486"/>
      <c r="C7" s="486"/>
      <c r="D7" s="492" t="str">
        <f>Quote!B2</f>
        <v>SAM339</v>
      </c>
      <c r="E7" s="493"/>
      <c r="F7" s="138"/>
      <c r="G7" s="138"/>
      <c r="H7" s="138"/>
      <c r="I7" s="138"/>
      <c r="J7" s="138"/>
      <c r="K7" s="138"/>
    </row>
    <row r="8" spans="1:13" ht="15.75" customHeight="1" x14ac:dyDescent="0.3">
      <c r="A8" s="494" t="s">
        <v>177</v>
      </c>
      <c r="B8" s="495"/>
      <c r="C8" s="495"/>
      <c r="D8" s="496">
        <f>Quote!B4</f>
        <v>306624</v>
      </c>
      <c r="E8" s="497"/>
    </row>
    <row r="9" spans="1:13" ht="15.75" customHeight="1" x14ac:dyDescent="0.3">
      <c r="A9" s="485" t="s">
        <v>178</v>
      </c>
      <c r="B9" s="486"/>
      <c r="C9" s="486"/>
      <c r="D9" s="487">
        <f>ups</f>
        <v>8</v>
      </c>
      <c r="E9" s="488"/>
    </row>
    <row r="10" spans="1:13" ht="15.75" customHeight="1" x14ac:dyDescent="0.3">
      <c r="A10" s="498" t="s">
        <v>179</v>
      </c>
      <c r="B10" s="499"/>
      <c r="C10" s="499"/>
      <c r="D10" s="500"/>
      <c r="E10" s="501"/>
    </row>
    <row r="11" spans="1:13" ht="15.75" customHeight="1" x14ac:dyDescent="0.3">
      <c r="A11" s="498" t="s">
        <v>169</v>
      </c>
      <c r="B11" s="499"/>
      <c r="C11" s="499"/>
      <c r="D11" s="500">
        <v>1</v>
      </c>
      <c r="E11" s="501"/>
    </row>
    <row r="12" spans="1:13" ht="15.75" customHeight="1" x14ac:dyDescent="0.3">
      <c r="A12" s="498" t="s">
        <v>180</v>
      </c>
      <c r="B12" s="499"/>
      <c r="C12" s="499"/>
      <c r="D12" s="502"/>
      <c r="E12" s="503"/>
      <c r="F12" s="138"/>
      <c r="G12" s="138"/>
      <c r="H12" s="138"/>
      <c r="I12" s="138"/>
    </row>
    <row r="13" spans="1:13" ht="15.75" customHeight="1" x14ac:dyDescent="0.35">
      <c r="A13" s="498" t="s">
        <v>181</v>
      </c>
      <c r="B13" s="499"/>
      <c r="C13" s="499"/>
      <c r="D13" s="504">
        <f>HLOOKUP(D12+10,B2:J5,D11+1,TRUE)+0.05</f>
        <v>0.65</v>
      </c>
      <c r="E13" s="505"/>
      <c r="F13" s="138"/>
      <c r="G13" s="138"/>
      <c r="H13" s="138"/>
      <c r="I13" s="138"/>
    </row>
    <row r="14" spans="1:13" ht="15.75" customHeight="1" x14ac:dyDescent="0.3">
      <c r="A14" s="498" t="s">
        <v>182</v>
      </c>
      <c r="B14" s="499"/>
      <c r="C14" s="499"/>
      <c r="D14" s="500"/>
      <c r="E14" s="501"/>
      <c r="F14" s="138"/>
      <c r="G14" s="138"/>
      <c r="H14" s="138"/>
      <c r="I14" s="138"/>
    </row>
    <row r="15" spans="1:13" ht="15.75" customHeight="1" x14ac:dyDescent="0.3">
      <c r="A15" s="498" t="s">
        <v>183</v>
      </c>
      <c r="B15" s="499"/>
      <c r="C15" s="499"/>
      <c r="D15" s="500"/>
      <c r="E15" s="501"/>
      <c r="F15" s="138"/>
      <c r="G15" s="138"/>
      <c r="H15" s="138"/>
      <c r="I15" s="138"/>
    </row>
    <row r="16" spans="1:13" ht="15.75" customHeight="1" x14ac:dyDescent="0.3">
      <c r="A16" s="494"/>
      <c r="B16" s="495"/>
      <c r="C16" s="495"/>
      <c r="D16" s="508"/>
      <c r="E16" s="509"/>
      <c r="F16" s="138"/>
      <c r="G16" s="138"/>
      <c r="H16" s="138"/>
      <c r="I16" s="138"/>
    </row>
    <row r="17" spans="1:10" ht="15.75" customHeight="1" x14ac:dyDescent="0.35">
      <c r="A17" s="510" t="s">
        <v>184</v>
      </c>
      <c r="B17" s="511"/>
      <c r="C17" s="512"/>
      <c r="D17" s="513" t="s">
        <v>185</v>
      </c>
      <c r="E17" s="513"/>
      <c r="F17" s="226">
        <f>SUM(C19:C30)+D14+D15</f>
        <v>0</v>
      </c>
      <c r="G17" s="219"/>
      <c r="H17" s="219"/>
      <c r="I17" s="219"/>
      <c r="J17" s="219"/>
    </row>
    <row r="18" spans="1:10" ht="15.75" customHeight="1" x14ac:dyDescent="0.35">
      <c r="A18" s="145" t="s">
        <v>186</v>
      </c>
      <c r="B18" s="146" t="s">
        <v>187</v>
      </c>
      <c r="C18" s="147" t="s">
        <v>188</v>
      </c>
      <c r="D18" s="513" t="s">
        <v>189</v>
      </c>
      <c r="E18" s="513"/>
      <c r="F18" s="226">
        <f>F17*D9+6</f>
        <v>6</v>
      </c>
      <c r="G18" s="219"/>
      <c r="H18" s="219"/>
      <c r="I18" s="219"/>
      <c r="J18" s="219"/>
    </row>
    <row r="19" spans="1:10" ht="15.75" customHeight="1" x14ac:dyDescent="0.35">
      <c r="A19" s="148"/>
      <c r="B19" s="223"/>
      <c r="C19" s="149">
        <f>(PI()*$D$10*B19*A19-2*PI()*(A19/2)^2*B19)</f>
        <v>0</v>
      </c>
      <c r="D19" s="506" t="s">
        <v>190</v>
      </c>
      <c r="E19" s="507"/>
      <c r="F19" s="220">
        <f>MAX(F18*D13,INDEX(J3:J5,D11))</f>
        <v>20</v>
      </c>
      <c r="G19" s="220"/>
      <c r="H19" s="220"/>
      <c r="I19" s="220"/>
      <c r="J19" s="220"/>
    </row>
    <row r="20" spans="1:10" ht="15.75" customHeight="1" x14ac:dyDescent="0.35">
      <c r="A20" s="148"/>
      <c r="B20" s="223"/>
      <c r="C20" s="149">
        <f t="shared" ref="C20:C30" si="0">(PI()*$D$10*B20*A20-2*PI()*(A20/2)^2*B20)</f>
        <v>0</v>
      </c>
      <c r="D20" s="222"/>
      <c r="E20" s="225" t="s">
        <v>305</v>
      </c>
      <c r="F20" s="224">
        <f>INDEX(K3:K5,D11)</f>
        <v>50</v>
      </c>
      <c r="G20" s="224"/>
      <c r="H20" s="224"/>
      <c r="I20" s="224"/>
      <c r="J20" s="221"/>
    </row>
    <row r="21" spans="1:10" ht="15.75" customHeight="1" x14ac:dyDescent="0.25">
      <c r="A21" s="148"/>
      <c r="B21" s="223"/>
      <c r="C21" s="149">
        <f t="shared" si="0"/>
        <v>0</v>
      </c>
      <c r="F21" s="138"/>
      <c r="G21" s="138"/>
      <c r="H21" s="138"/>
      <c r="I21" s="138"/>
    </row>
    <row r="22" spans="1:10" ht="15.75" customHeight="1" x14ac:dyDescent="0.25">
      <c r="A22" s="148"/>
      <c r="B22" s="223"/>
      <c r="C22" s="149">
        <f t="shared" si="0"/>
        <v>0</v>
      </c>
      <c r="F22" s="138"/>
      <c r="G22" s="138"/>
      <c r="H22" s="138"/>
      <c r="I22" s="138"/>
    </row>
    <row r="23" spans="1:10" ht="15.75" customHeight="1" x14ac:dyDescent="0.25">
      <c r="A23" s="148"/>
      <c r="B23" s="223"/>
      <c r="C23" s="149">
        <f t="shared" si="0"/>
        <v>0</v>
      </c>
      <c r="F23" s="138"/>
      <c r="G23" s="138"/>
      <c r="H23" s="138"/>
      <c r="I23" s="138"/>
    </row>
    <row r="24" spans="1:10" ht="15.75" customHeight="1" x14ac:dyDescent="0.25">
      <c r="A24" s="148"/>
      <c r="B24" s="223"/>
      <c r="C24" s="149">
        <f t="shared" si="0"/>
        <v>0</v>
      </c>
      <c r="F24" s="138"/>
      <c r="G24" s="138"/>
      <c r="H24" s="138"/>
      <c r="I24" s="138"/>
    </row>
    <row r="25" spans="1:10" ht="15.75" customHeight="1" x14ac:dyDescent="0.25">
      <c r="A25" s="148"/>
      <c r="B25" s="223"/>
      <c r="C25" s="149">
        <f t="shared" si="0"/>
        <v>0</v>
      </c>
    </row>
    <row r="26" spans="1:10" ht="15.75" customHeight="1" x14ac:dyDescent="0.25">
      <c r="A26" s="148"/>
      <c r="B26" s="223"/>
      <c r="C26" s="149">
        <f t="shared" si="0"/>
        <v>0</v>
      </c>
    </row>
    <row r="27" spans="1:10" x14ac:dyDescent="0.25">
      <c r="A27" s="148"/>
      <c r="B27" s="223"/>
      <c r="C27" s="149">
        <f t="shared" si="0"/>
        <v>0</v>
      </c>
    </row>
    <row r="28" spans="1:10" x14ac:dyDescent="0.25">
      <c r="A28" s="148"/>
      <c r="B28" s="223"/>
      <c r="C28" s="149">
        <f t="shared" si="0"/>
        <v>0</v>
      </c>
    </row>
    <row r="29" spans="1:10" x14ac:dyDescent="0.25">
      <c r="A29" s="148"/>
      <c r="B29" s="223"/>
      <c r="C29" s="149">
        <f t="shared" si="0"/>
        <v>0</v>
      </c>
    </row>
    <row r="30" spans="1:10" x14ac:dyDescent="0.25">
      <c r="A30" s="150"/>
      <c r="B30" s="218"/>
      <c r="C30" s="151">
        <f t="shared" si="0"/>
        <v>0</v>
      </c>
    </row>
  </sheetData>
  <sheetProtection sheet="1" objects="1" scenarios="1" selectLockedCells="1"/>
  <mergeCells count="25">
    <mergeCell ref="D19:E19"/>
    <mergeCell ref="A16:C16"/>
    <mergeCell ref="D16:E16"/>
    <mergeCell ref="A17:C17"/>
    <mergeCell ref="D17:E17"/>
    <mergeCell ref="D18:E18"/>
    <mergeCell ref="A13:C13"/>
    <mergeCell ref="D13:E13"/>
    <mergeCell ref="A14:C14"/>
    <mergeCell ref="D14:E14"/>
    <mergeCell ref="A15:C15"/>
    <mergeCell ref="D15:E15"/>
    <mergeCell ref="A10:C10"/>
    <mergeCell ref="D10:E10"/>
    <mergeCell ref="A11:C11"/>
    <mergeCell ref="D11:E11"/>
    <mergeCell ref="A12:C12"/>
    <mergeCell ref="D12:E12"/>
    <mergeCell ref="A9:C9"/>
    <mergeCell ref="D9:E9"/>
    <mergeCell ref="A1:K1"/>
    <mergeCell ref="A7:C7"/>
    <mergeCell ref="D7:E7"/>
    <mergeCell ref="A8:C8"/>
    <mergeCell ref="D8:E8"/>
  </mergeCells>
  <pageMargins left="0.75" right="0.75" top="1" bottom="1" header="0.5" footer="0.5"/>
  <pageSetup scale="66" orientation="landscape" r:id="rId1"/>
  <headerFooter alignWithMargins="0"/>
  <drawing r:id="rId2"/>
  <legacyDrawing r:id="rId3"/>
  <controls>
    <mc:AlternateContent xmlns:mc="http://schemas.openxmlformats.org/markup-compatibility/2006">
      <mc:Choice Requires="x14">
        <control shapeId="2055" r:id="rId4" name="CommandButton2">
          <controlPr defaultSize="0" autoLine="0" autoPict="0" r:id="rId5">
            <anchor moveWithCells="1">
              <from>
                <xdr:col>5</xdr:col>
                <xdr:colOff>0</xdr:colOff>
                <xdr:row>21</xdr:row>
                <xdr:rowOff>38100</xdr:rowOff>
              </from>
              <to>
                <xdr:col>6</xdr:col>
                <xdr:colOff>298450</xdr:colOff>
                <xdr:row>22</xdr:row>
                <xdr:rowOff>114300</xdr:rowOff>
              </to>
            </anchor>
          </controlPr>
        </control>
      </mc:Choice>
      <mc:Fallback>
        <control shapeId="2055" r:id="rId4" name="CommandButton2"/>
      </mc:Fallback>
    </mc:AlternateContent>
    <mc:AlternateContent xmlns:mc="http://schemas.openxmlformats.org/markup-compatibility/2006">
      <mc:Choice Requires="x14">
        <control shapeId="2054" r:id="rId6" name="CommandButton1">
          <controlPr defaultSize="0" autoLine="0" r:id="rId7">
            <anchor moveWithCells="1">
              <from>
                <xdr:col>3</xdr:col>
                <xdr:colOff>203200</xdr:colOff>
                <xdr:row>21</xdr:row>
                <xdr:rowOff>57150</xdr:rowOff>
              </from>
              <to>
                <xdr:col>4</xdr:col>
                <xdr:colOff>431800</xdr:colOff>
                <xdr:row>22</xdr:row>
                <xdr:rowOff>127000</xdr:rowOff>
              </to>
            </anchor>
          </controlPr>
        </control>
      </mc:Choice>
      <mc:Fallback>
        <control shapeId="2054" r:id="rId6" name="CommandButton1"/>
      </mc:Fallback>
    </mc:AlternateContent>
    <mc:AlternateContent xmlns:mc="http://schemas.openxmlformats.org/markup-compatibility/2006">
      <mc:Choice Requires="x14">
        <control shapeId="2049" r:id="rId8" name="Spinner 1">
          <controlPr defaultSize="0" autoPict="0">
            <anchor moveWithCells="1" sizeWithCells="1">
              <from>
                <xdr:col>3</xdr:col>
                <xdr:colOff>12700</xdr:colOff>
                <xdr:row>11</xdr:row>
                <xdr:rowOff>12700</xdr:rowOff>
              </from>
              <to>
                <xdr:col>3</xdr:col>
                <xdr:colOff>222250</xdr:colOff>
                <xdr:row>12</xdr:row>
                <xdr:rowOff>0</xdr:rowOff>
              </to>
            </anchor>
          </controlPr>
        </control>
      </mc:Choice>
    </mc:AlternateContent>
    <mc:AlternateContent xmlns:mc="http://schemas.openxmlformats.org/markup-compatibility/2006">
      <mc:Choice Requires="x14">
        <control shapeId="2050" r:id="rId9" name="Drop Down 2">
          <controlPr locked="0" defaultSize="0" autoLine="0" autoPict="0">
            <anchor moveWithCells="1">
              <from>
                <xdr:col>3</xdr:col>
                <xdr:colOff>0</xdr:colOff>
                <xdr:row>10</xdr:row>
                <xdr:rowOff>0</xdr:rowOff>
              </from>
              <to>
                <xdr:col>4</xdr:col>
                <xdr:colOff>584200</xdr:colOff>
                <xdr:row>11</xdr:row>
                <xdr:rowOff>0</xdr:rowOff>
              </to>
            </anchor>
          </controlPr>
        </control>
      </mc:Choice>
    </mc:AlternateContent>
    <mc:AlternateContent xmlns:mc="http://schemas.openxmlformats.org/markup-compatibility/2006">
      <mc:Choice Requires="x14">
        <control shapeId="2051" r:id="rId10" name="Spinner 3">
          <controlPr defaultSize="0" autoPict="0">
            <anchor moveWithCells="1" sizeWithCells="1">
              <from>
                <xdr:col>3</xdr:col>
                <xdr:colOff>12700</xdr:colOff>
                <xdr:row>11</xdr:row>
                <xdr:rowOff>12700</xdr:rowOff>
              </from>
              <to>
                <xdr:col>3</xdr:col>
                <xdr:colOff>222250</xdr:colOff>
                <xdr:row>12</xdr:row>
                <xdr:rowOff>0</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rgb="FFFFFFCC"/>
    <pageSetUpPr fitToPage="1"/>
  </sheetPr>
  <dimension ref="A1:WVP73"/>
  <sheetViews>
    <sheetView showGridLines="0" showZeros="0" topLeftCell="A50" zoomScale="120" zoomScaleNormal="120" workbookViewId="0">
      <selection activeCell="F24" sqref="F24:G24"/>
    </sheetView>
  </sheetViews>
  <sheetFormatPr defaultColWidth="0" defaultRowHeight="13" zeroHeight="1" x14ac:dyDescent="0.4"/>
  <cols>
    <col min="1" max="2" width="9.1796875" style="162" customWidth="1"/>
    <col min="3" max="3" width="13.1796875" style="162" customWidth="1"/>
    <col min="4" max="4" width="11.26953125" style="162" bestFit="1" customWidth="1"/>
    <col min="5" max="5" width="7.7265625" style="162" customWidth="1"/>
    <col min="6" max="7" width="6" style="162" customWidth="1"/>
    <col min="8" max="8" width="9.453125" style="162" hidden="1" customWidth="1"/>
    <col min="9" max="9" width="18.81640625" style="162" customWidth="1"/>
    <col min="10" max="10" width="15" style="162" bestFit="1" customWidth="1"/>
    <col min="11" max="258" width="9.1796875" style="162" hidden="1"/>
    <col min="259" max="259" width="13.1796875" style="162" hidden="1"/>
    <col min="260" max="260" width="9.1796875" style="162" hidden="1"/>
    <col min="261" max="261" width="7.7265625" style="162" hidden="1"/>
    <col min="262" max="263" width="6" style="162" hidden="1"/>
    <col min="264" max="264" width="8.1796875" style="162" hidden="1"/>
    <col min="265" max="514" width="9.1796875" style="162" hidden="1"/>
    <col min="515" max="515" width="13.1796875" style="162" hidden="1"/>
    <col min="516" max="516" width="9.1796875" style="162" hidden="1"/>
    <col min="517" max="517" width="7.7265625" style="162" hidden="1"/>
    <col min="518" max="519" width="6" style="162" hidden="1"/>
    <col min="520" max="520" width="8.1796875" style="162" hidden="1"/>
    <col min="521" max="770" width="9.1796875" style="162" hidden="1"/>
    <col min="771" max="771" width="13.1796875" style="162" hidden="1"/>
    <col min="772" max="772" width="9.1796875" style="162" hidden="1"/>
    <col min="773" max="773" width="7.7265625" style="162" hidden="1"/>
    <col min="774" max="775" width="6" style="162" hidden="1"/>
    <col min="776" max="776" width="8.1796875" style="162" hidden="1"/>
    <col min="777" max="1026" width="9.1796875" style="162" hidden="1"/>
    <col min="1027" max="1027" width="13.1796875" style="162" hidden="1"/>
    <col min="1028" max="1028" width="9.1796875" style="162" hidden="1"/>
    <col min="1029" max="1029" width="7.7265625" style="162" hidden="1"/>
    <col min="1030" max="1031" width="6" style="162" hidden="1"/>
    <col min="1032" max="1032" width="8.1796875" style="162" hidden="1"/>
    <col min="1033" max="1282" width="9.1796875" style="162" hidden="1"/>
    <col min="1283" max="1283" width="13.1796875" style="162" hidden="1"/>
    <col min="1284" max="1284" width="9.1796875" style="162" hidden="1"/>
    <col min="1285" max="1285" width="7.7265625" style="162" hidden="1"/>
    <col min="1286" max="1287" width="6" style="162" hidden="1"/>
    <col min="1288" max="1288" width="8.1796875" style="162" hidden="1"/>
    <col min="1289" max="1538" width="9.1796875" style="162" hidden="1"/>
    <col min="1539" max="1539" width="13.1796875" style="162" hidden="1"/>
    <col min="1540" max="1540" width="9.1796875" style="162" hidden="1"/>
    <col min="1541" max="1541" width="7.7265625" style="162" hidden="1"/>
    <col min="1542" max="1543" width="6" style="162" hidden="1"/>
    <col min="1544" max="1544" width="8.1796875" style="162" hidden="1"/>
    <col min="1545" max="1794" width="9.1796875" style="162" hidden="1"/>
    <col min="1795" max="1795" width="13.1796875" style="162" hidden="1"/>
    <col min="1796" max="1796" width="9.1796875" style="162" hidden="1"/>
    <col min="1797" max="1797" width="7.7265625" style="162" hidden="1"/>
    <col min="1798" max="1799" width="6" style="162" hidden="1"/>
    <col min="1800" max="1800" width="8.1796875" style="162" hidden="1"/>
    <col min="1801" max="2050" width="9.1796875" style="162" hidden="1"/>
    <col min="2051" max="2051" width="13.1796875" style="162" hidden="1"/>
    <col min="2052" max="2052" width="9.1796875" style="162" hidden="1"/>
    <col min="2053" max="2053" width="7.7265625" style="162" hidden="1"/>
    <col min="2054" max="2055" width="6" style="162" hidden="1"/>
    <col min="2056" max="2056" width="8.1796875" style="162" hidden="1"/>
    <col min="2057" max="2306" width="9.1796875" style="162" hidden="1"/>
    <col min="2307" max="2307" width="13.1796875" style="162" hidden="1"/>
    <col min="2308" max="2308" width="9.1796875" style="162" hidden="1"/>
    <col min="2309" max="2309" width="7.7265625" style="162" hidden="1"/>
    <col min="2310" max="2311" width="6" style="162" hidden="1"/>
    <col min="2312" max="2312" width="8.1796875" style="162" hidden="1"/>
    <col min="2313" max="2562" width="9.1796875" style="162" hidden="1"/>
    <col min="2563" max="2563" width="13.1796875" style="162" hidden="1"/>
    <col min="2564" max="2564" width="9.1796875" style="162" hidden="1"/>
    <col min="2565" max="2565" width="7.7265625" style="162" hidden="1"/>
    <col min="2566" max="2567" width="6" style="162" hidden="1"/>
    <col min="2568" max="2568" width="8.1796875" style="162" hidden="1"/>
    <col min="2569" max="2818" width="9.1796875" style="162" hidden="1"/>
    <col min="2819" max="2819" width="13.1796875" style="162" hidden="1"/>
    <col min="2820" max="2820" width="9.1796875" style="162" hidden="1"/>
    <col min="2821" max="2821" width="7.7265625" style="162" hidden="1"/>
    <col min="2822" max="2823" width="6" style="162" hidden="1"/>
    <col min="2824" max="2824" width="8.1796875" style="162" hidden="1"/>
    <col min="2825" max="3074" width="9.1796875" style="162" hidden="1"/>
    <col min="3075" max="3075" width="13.1796875" style="162" hidden="1"/>
    <col min="3076" max="3076" width="9.1796875" style="162" hidden="1"/>
    <col min="3077" max="3077" width="7.7265625" style="162" hidden="1"/>
    <col min="3078" max="3079" width="6" style="162" hidden="1"/>
    <col min="3080" max="3080" width="8.1796875" style="162" hidden="1"/>
    <col min="3081" max="3330" width="9.1796875" style="162" hidden="1"/>
    <col min="3331" max="3331" width="13.1796875" style="162" hidden="1"/>
    <col min="3332" max="3332" width="9.1796875" style="162" hidden="1"/>
    <col min="3333" max="3333" width="7.7265625" style="162" hidden="1"/>
    <col min="3334" max="3335" width="6" style="162" hidden="1"/>
    <col min="3336" max="3336" width="8.1796875" style="162" hidden="1"/>
    <col min="3337" max="3586" width="9.1796875" style="162" hidden="1"/>
    <col min="3587" max="3587" width="13.1796875" style="162" hidden="1"/>
    <col min="3588" max="3588" width="9.1796875" style="162" hidden="1"/>
    <col min="3589" max="3589" width="7.7265625" style="162" hidden="1"/>
    <col min="3590" max="3591" width="6" style="162" hidden="1"/>
    <col min="3592" max="3592" width="8.1796875" style="162" hidden="1"/>
    <col min="3593" max="3842" width="9.1796875" style="162" hidden="1"/>
    <col min="3843" max="3843" width="13.1796875" style="162" hidden="1"/>
    <col min="3844" max="3844" width="9.1796875" style="162" hidden="1"/>
    <col min="3845" max="3845" width="7.7265625" style="162" hidden="1"/>
    <col min="3846" max="3847" width="6" style="162" hidden="1"/>
    <col min="3848" max="3848" width="8.1796875" style="162" hidden="1"/>
    <col min="3849" max="4098" width="9.1796875" style="162" hidden="1"/>
    <col min="4099" max="4099" width="13.1796875" style="162" hidden="1"/>
    <col min="4100" max="4100" width="9.1796875" style="162" hidden="1"/>
    <col min="4101" max="4101" width="7.7265625" style="162" hidden="1"/>
    <col min="4102" max="4103" width="6" style="162" hidden="1"/>
    <col min="4104" max="4104" width="8.1796875" style="162" hidden="1"/>
    <col min="4105" max="4354" width="9.1796875" style="162" hidden="1"/>
    <col min="4355" max="4355" width="13.1796875" style="162" hidden="1"/>
    <col min="4356" max="4356" width="9.1796875" style="162" hidden="1"/>
    <col min="4357" max="4357" width="7.7265625" style="162" hidden="1"/>
    <col min="4358" max="4359" width="6" style="162" hidden="1"/>
    <col min="4360" max="4360" width="8.1796875" style="162" hidden="1"/>
    <col min="4361" max="4610" width="9.1796875" style="162" hidden="1"/>
    <col min="4611" max="4611" width="13.1796875" style="162" hidden="1"/>
    <col min="4612" max="4612" width="9.1796875" style="162" hidden="1"/>
    <col min="4613" max="4613" width="7.7265625" style="162" hidden="1"/>
    <col min="4614" max="4615" width="6" style="162" hidden="1"/>
    <col min="4616" max="4616" width="8.1796875" style="162" hidden="1"/>
    <col min="4617" max="4866" width="9.1796875" style="162" hidden="1"/>
    <col min="4867" max="4867" width="13.1796875" style="162" hidden="1"/>
    <col min="4868" max="4868" width="9.1796875" style="162" hidden="1"/>
    <col min="4869" max="4869" width="7.7265625" style="162" hidden="1"/>
    <col min="4870" max="4871" width="6" style="162" hidden="1"/>
    <col min="4872" max="4872" width="8.1796875" style="162" hidden="1"/>
    <col min="4873" max="5122" width="9.1796875" style="162" hidden="1"/>
    <col min="5123" max="5123" width="13.1796875" style="162" hidden="1"/>
    <col min="5124" max="5124" width="9.1796875" style="162" hidden="1"/>
    <col min="5125" max="5125" width="7.7265625" style="162" hidden="1"/>
    <col min="5126" max="5127" width="6" style="162" hidden="1"/>
    <col min="5128" max="5128" width="8.1796875" style="162" hidden="1"/>
    <col min="5129" max="5378" width="9.1796875" style="162" hidden="1"/>
    <col min="5379" max="5379" width="13.1796875" style="162" hidden="1"/>
    <col min="5380" max="5380" width="9.1796875" style="162" hidden="1"/>
    <col min="5381" max="5381" width="7.7265625" style="162" hidden="1"/>
    <col min="5382" max="5383" width="6" style="162" hidden="1"/>
    <col min="5384" max="5384" width="8.1796875" style="162" hidden="1"/>
    <col min="5385" max="5634" width="9.1796875" style="162" hidden="1"/>
    <col min="5635" max="5635" width="13.1796875" style="162" hidden="1"/>
    <col min="5636" max="5636" width="9.1796875" style="162" hidden="1"/>
    <col min="5637" max="5637" width="7.7265625" style="162" hidden="1"/>
    <col min="5638" max="5639" width="6" style="162" hidden="1"/>
    <col min="5640" max="5640" width="8.1796875" style="162" hidden="1"/>
    <col min="5641" max="5890" width="9.1796875" style="162" hidden="1"/>
    <col min="5891" max="5891" width="13.1796875" style="162" hidden="1"/>
    <col min="5892" max="5892" width="9.1796875" style="162" hidden="1"/>
    <col min="5893" max="5893" width="7.7265625" style="162" hidden="1"/>
    <col min="5894" max="5895" width="6" style="162" hidden="1"/>
    <col min="5896" max="5896" width="8.1796875" style="162" hidden="1"/>
    <col min="5897" max="6146" width="9.1796875" style="162" hidden="1"/>
    <col min="6147" max="6147" width="13.1796875" style="162" hidden="1"/>
    <col min="6148" max="6148" width="9.1796875" style="162" hidden="1"/>
    <col min="6149" max="6149" width="7.7265625" style="162" hidden="1"/>
    <col min="6150" max="6151" width="6" style="162" hidden="1"/>
    <col min="6152" max="6152" width="8.1796875" style="162" hidden="1"/>
    <col min="6153" max="6402" width="9.1796875" style="162" hidden="1"/>
    <col min="6403" max="6403" width="13.1796875" style="162" hidden="1"/>
    <col min="6404" max="6404" width="9.1796875" style="162" hidden="1"/>
    <col min="6405" max="6405" width="7.7265625" style="162" hidden="1"/>
    <col min="6406" max="6407" width="6" style="162" hidden="1"/>
    <col min="6408" max="6408" width="8.1796875" style="162" hidden="1"/>
    <col min="6409" max="6658" width="9.1796875" style="162" hidden="1"/>
    <col min="6659" max="6659" width="13.1796875" style="162" hidden="1"/>
    <col min="6660" max="6660" width="9.1796875" style="162" hidden="1"/>
    <col min="6661" max="6661" width="7.7265625" style="162" hidden="1"/>
    <col min="6662" max="6663" width="6" style="162" hidden="1"/>
    <col min="6664" max="6664" width="8.1796875" style="162" hidden="1"/>
    <col min="6665" max="6914" width="9.1796875" style="162" hidden="1"/>
    <col min="6915" max="6915" width="13.1796875" style="162" hidden="1"/>
    <col min="6916" max="6916" width="9.1796875" style="162" hidden="1"/>
    <col min="6917" max="6917" width="7.7265625" style="162" hidden="1"/>
    <col min="6918" max="6919" width="6" style="162" hidden="1"/>
    <col min="6920" max="6920" width="8.1796875" style="162" hidden="1"/>
    <col min="6921" max="7170" width="9.1796875" style="162" hidden="1"/>
    <col min="7171" max="7171" width="13.1796875" style="162" hidden="1"/>
    <col min="7172" max="7172" width="9.1796875" style="162" hidden="1"/>
    <col min="7173" max="7173" width="7.7265625" style="162" hidden="1"/>
    <col min="7174" max="7175" width="6" style="162" hidden="1"/>
    <col min="7176" max="7176" width="8.1796875" style="162" hidden="1"/>
    <col min="7177" max="7426" width="9.1796875" style="162" hidden="1"/>
    <col min="7427" max="7427" width="13.1796875" style="162" hidden="1"/>
    <col min="7428" max="7428" width="9.1796875" style="162" hidden="1"/>
    <col min="7429" max="7429" width="7.7265625" style="162" hidden="1"/>
    <col min="7430" max="7431" width="6" style="162" hidden="1"/>
    <col min="7432" max="7432" width="8.1796875" style="162" hidden="1"/>
    <col min="7433" max="7682" width="9.1796875" style="162" hidden="1"/>
    <col min="7683" max="7683" width="13.1796875" style="162" hidden="1"/>
    <col min="7684" max="7684" width="9.1796875" style="162" hidden="1"/>
    <col min="7685" max="7685" width="7.7265625" style="162" hidden="1"/>
    <col min="7686" max="7687" width="6" style="162" hidden="1"/>
    <col min="7688" max="7688" width="8.1796875" style="162" hidden="1"/>
    <col min="7689" max="7938" width="9.1796875" style="162" hidden="1"/>
    <col min="7939" max="7939" width="13.1796875" style="162" hidden="1"/>
    <col min="7940" max="7940" width="9.1796875" style="162" hidden="1"/>
    <col min="7941" max="7941" width="7.7265625" style="162" hidden="1"/>
    <col min="7942" max="7943" width="6" style="162" hidden="1"/>
    <col min="7944" max="7944" width="8.1796875" style="162" hidden="1"/>
    <col min="7945" max="8194" width="9.1796875" style="162" hidden="1"/>
    <col min="8195" max="8195" width="13.1796875" style="162" hidden="1"/>
    <col min="8196" max="8196" width="9.1796875" style="162" hidden="1"/>
    <col min="8197" max="8197" width="7.7265625" style="162" hidden="1"/>
    <col min="8198" max="8199" width="6" style="162" hidden="1"/>
    <col min="8200" max="8200" width="8.1796875" style="162" hidden="1"/>
    <col min="8201" max="8450" width="9.1796875" style="162" hidden="1"/>
    <col min="8451" max="8451" width="13.1796875" style="162" hidden="1"/>
    <col min="8452" max="8452" width="9.1796875" style="162" hidden="1"/>
    <col min="8453" max="8453" width="7.7265625" style="162" hidden="1"/>
    <col min="8454" max="8455" width="6" style="162" hidden="1"/>
    <col min="8456" max="8456" width="8.1796875" style="162" hidden="1"/>
    <col min="8457" max="8706" width="9.1796875" style="162" hidden="1"/>
    <col min="8707" max="8707" width="13.1796875" style="162" hidden="1"/>
    <col min="8708" max="8708" width="9.1796875" style="162" hidden="1"/>
    <col min="8709" max="8709" width="7.7265625" style="162" hidden="1"/>
    <col min="8710" max="8711" width="6" style="162" hidden="1"/>
    <col min="8712" max="8712" width="8.1796875" style="162" hidden="1"/>
    <col min="8713" max="8962" width="9.1796875" style="162" hidden="1"/>
    <col min="8963" max="8963" width="13.1796875" style="162" hidden="1"/>
    <col min="8964" max="8964" width="9.1796875" style="162" hidden="1"/>
    <col min="8965" max="8965" width="7.7265625" style="162" hidden="1"/>
    <col min="8966" max="8967" width="6" style="162" hidden="1"/>
    <col min="8968" max="8968" width="8.1796875" style="162" hidden="1"/>
    <col min="8969" max="9218" width="9.1796875" style="162" hidden="1"/>
    <col min="9219" max="9219" width="13.1796875" style="162" hidden="1"/>
    <col min="9220" max="9220" width="9.1796875" style="162" hidden="1"/>
    <col min="9221" max="9221" width="7.7265625" style="162" hidden="1"/>
    <col min="9222" max="9223" width="6" style="162" hidden="1"/>
    <col min="9224" max="9224" width="8.1796875" style="162" hidden="1"/>
    <col min="9225" max="9474" width="9.1796875" style="162" hidden="1"/>
    <col min="9475" max="9475" width="13.1796875" style="162" hidden="1"/>
    <col min="9476" max="9476" width="9.1796875" style="162" hidden="1"/>
    <col min="9477" max="9477" width="7.7265625" style="162" hidden="1"/>
    <col min="9478" max="9479" width="6" style="162" hidden="1"/>
    <col min="9480" max="9480" width="8.1796875" style="162" hidden="1"/>
    <col min="9481" max="9730" width="9.1796875" style="162" hidden="1"/>
    <col min="9731" max="9731" width="13.1796875" style="162" hidden="1"/>
    <col min="9732" max="9732" width="9.1796875" style="162" hidden="1"/>
    <col min="9733" max="9733" width="7.7265625" style="162" hidden="1"/>
    <col min="9734" max="9735" width="6" style="162" hidden="1"/>
    <col min="9736" max="9736" width="8.1796875" style="162" hidden="1"/>
    <col min="9737" max="9986" width="9.1796875" style="162" hidden="1"/>
    <col min="9987" max="9987" width="13.1796875" style="162" hidden="1"/>
    <col min="9988" max="9988" width="9.1796875" style="162" hidden="1"/>
    <col min="9989" max="9989" width="7.7265625" style="162" hidden="1"/>
    <col min="9990" max="9991" width="6" style="162" hidden="1"/>
    <col min="9992" max="9992" width="8.1796875" style="162" hidden="1"/>
    <col min="9993" max="10242" width="9.1796875" style="162" hidden="1"/>
    <col min="10243" max="10243" width="13.1796875" style="162" hidden="1"/>
    <col min="10244" max="10244" width="9.1796875" style="162" hidden="1"/>
    <col min="10245" max="10245" width="7.7265625" style="162" hidden="1"/>
    <col min="10246" max="10247" width="6" style="162" hidden="1"/>
    <col min="10248" max="10248" width="8.1796875" style="162" hidden="1"/>
    <col min="10249" max="10498" width="9.1796875" style="162" hidden="1"/>
    <col min="10499" max="10499" width="13.1796875" style="162" hidden="1"/>
    <col min="10500" max="10500" width="9.1796875" style="162" hidden="1"/>
    <col min="10501" max="10501" width="7.7265625" style="162" hidden="1"/>
    <col min="10502" max="10503" width="6" style="162" hidden="1"/>
    <col min="10504" max="10504" width="8.1796875" style="162" hidden="1"/>
    <col min="10505" max="10754" width="9.1796875" style="162" hidden="1"/>
    <col min="10755" max="10755" width="13.1796875" style="162" hidden="1"/>
    <col min="10756" max="10756" width="9.1796875" style="162" hidden="1"/>
    <col min="10757" max="10757" width="7.7265625" style="162" hidden="1"/>
    <col min="10758" max="10759" width="6" style="162" hidden="1"/>
    <col min="10760" max="10760" width="8.1796875" style="162" hidden="1"/>
    <col min="10761" max="11010" width="9.1796875" style="162" hidden="1"/>
    <col min="11011" max="11011" width="13.1796875" style="162" hidden="1"/>
    <col min="11012" max="11012" width="9.1796875" style="162" hidden="1"/>
    <col min="11013" max="11013" width="7.7265625" style="162" hidden="1"/>
    <col min="11014" max="11015" width="6" style="162" hidden="1"/>
    <col min="11016" max="11016" width="8.1796875" style="162" hidden="1"/>
    <col min="11017" max="11266" width="9.1796875" style="162" hidden="1"/>
    <col min="11267" max="11267" width="13.1796875" style="162" hidden="1"/>
    <col min="11268" max="11268" width="9.1796875" style="162" hidden="1"/>
    <col min="11269" max="11269" width="7.7265625" style="162" hidden="1"/>
    <col min="11270" max="11271" width="6" style="162" hidden="1"/>
    <col min="11272" max="11272" width="8.1796875" style="162" hidden="1"/>
    <col min="11273" max="11522" width="9.1796875" style="162" hidden="1"/>
    <col min="11523" max="11523" width="13.1796875" style="162" hidden="1"/>
    <col min="11524" max="11524" width="9.1796875" style="162" hidden="1"/>
    <col min="11525" max="11525" width="7.7265625" style="162" hidden="1"/>
    <col min="11526" max="11527" width="6" style="162" hidden="1"/>
    <col min="11528" max="11528" width="8.1796875" style="162" hidden="1"/>
    <col min="11529" max="11778" width="9.1796875" style="162" hidden="1"/>
    <col min="11779" max="11779" width="13.1796875" style="162" hidden="1"/>
    <col min="11780" max="11780" width="9.1796875" style="162" hidden="1"/>
    <col min="11781" max="11781" width="7.7265625" style="162" hidden="1"/>
    <col min="11782" max="11783" width="6" style="162" hidden="1"/>
    <col min="11784" max="11784" width="8.1796875" style="162" hidden="1"/>
    <col min="11785" max="12034" width="9.1796875" style="162" hidden="1"/>
    <col min="12035" max="12035" width="13.1796875" style="162" hidden="1"/>
    <col min="12036" max="12036" width="9.1796875" style="162" hidden="1"/>
    <col min="12037" max="12037" width="7.7265625" style="162" hidden="1"/>
    <col min="12038" max="12039" width="6" style="162" hidden="1"/>
    <col min="12040" max="12040" width="8.1796875" style="162" hidden="1"/>
    <col min="12041" max="12290" width="9.1796875" style="162" hidden="1"/>
    <col min="12291" max="12291" width="13.1796875" style="162" hidden="1"/>
    <col min="12292" max="12292" width="9.1796875" style="162" hidden="1"/>
    <col min="12293" max="12293" width="7.7265625" style="162" hidden="1"/>
    <col min="12294" max="12295" width="6" style="162" hidden="1"/>
    <col min="12296" max="12296" width="8.1796875" style="162" hidden="1"/>
    <col min="12297" max="12546" width="9.1796875" style="162" hidden="1"/>
    <col min="12547" max="12547" width="13.1796875" style="162" hidden="1"/>
    <col min="12548" max="12548" width="9.1796875" style="162" hidden="1"/>
    <col min="12549" max="12549" width="7.7265625" style="162" hidden="1"/>
    <col min="12550" max="12551" width="6" style="162" hidden="1"/>
    <col min="12552" max="12552" width="8.1796875" style="162" hidden="1"/>
    <col min="12553" max="12802" width="9.1796875" style="162" hidden="1"/>
    <col min="12803" max="12803" width="13.1796875" style="162" hidden="1"/>
    <col min="12804" max="12804" width="9.1796875" style="162" hidden="1"/>
    <col min="12805" max="12805" width="7.7265625" style="162" hidden="1"/>
    <col min="12806" max="12807" width="6" style="162" hidden="1"/>
    <col min="12808" max="12808" width="8.1796875" style="162" hidden="1"/>
    <col min="12809" max="13058" width="9.1796875" style="162" hidden="1"/>
    <col min="13059" max="13059" width="13.1796875" style="162" hidden="1"/>
    <col min="13060" max="13060" width="9.1796875" style="162" hidden="1"/>
    <col min="13061" max="13061" width="7.7265625" style="162" hidden="1"/>
    <col min="13062" max="13063" width="6" style="162" hidden="1"/>
    <col min="13064" max="13064" width="8.1796875" style="162" hidden="1"/>
    <col min="13065" max="13314" width="9.1796875" style="162" hidden="1"/>
    <col min="13315" max="13315" width="13.1796875" style="162" hidden="1"/>
    <col min="13316" max="13316" width="9.1796875" style="162" hidden="1"/>
    <col min="13317" max="13317" width="7.7265625" style="162" hidden="1"/>
    <col min="13318" max="13319" width="6" style="162" hidden="1"/>
    <col min="13320" max="13320" width="8.1796875" style="162" hidden="1"/>
    <col min="13321" max="13570" width="9.1796875" style="162" hidden="1"/>
    <col min="13571" max="13571" width="13.1796875" style="162" hidden="1"/>
    <col min="13572" max="13572" width="9.1796875" style="162" hidden="1"/>
    <col min="13573" max="13573" width="7.7265625" style="162" hidden="1"/>
    <col min="13574" max="13575" width="6" style="162" hidden="1"/>
    <col min="13576" max="13576" width="8.1796875" style="162" hidden="1"/>
    <col min="13577" max="13826" width="9.1796875" style="162" hidden="1"/>
    <col min="13827" max="13827" width="13.1796875" style="162" hidden="1"/>
    <col min="13828" max="13828" width="9.1796875" style="162" hidden="1"/>
    <col min="13829" max="13829" width="7.7265625" style="162" hidden="1"/>
    <col min="13830" max="13831" width="6" style="162" hidden="1"/>
    <col min="13832" max="13832" width="8.1796875" style="162" hidden="1"/>
    <col min="13833" max="14082" width="9.1796875" style="162" hidden="1"/>
    <col min="14083" max="14083" width="13.1796875" style="162" hidden="1"/>
    <col min="14084" max="14084" width="9.1796875" style="162" hidden="1"/>
    <col min="14085" max="14085" width="7.7265625" style="162" hidden="1"/>
    <col min="14086" max="14087" width="6" style="162" hidden="1"/>
    <col min="14088" max="14088" width="8.1796875" style="162" hidden="1"/>
    <col min="14089" max="14338" width="9.1796875" style="162" hidden="1"/>
    <col min="14339" max="14339" width="13.1796875" style="162" hidden="1"/>
    <col min="14340" max="14340" width="9.1796875" style="162" hidden="1"/>
    <col min="14341" max="14341" width="7.7265625" style="162" hidden="1"/>
    <col min="14342" max="14343" width="6" style="162" hidden="1"/>
    <col min="14344" max="14344" width="8.1796875" style="162" hidden="1"/>
    <col min="14345" max="14594" width="9.1796875" style="162" hidden="1"/>
    <col min="14595" max="14595" width="13.1796875" style="162" hidden="1"/>
    <col min="14596" max="14596" width="9.1796875" style="162" hidden="1"/>
    <col min="14597" max="14597" width="7.7265625" style="162" hidden="1"/>
    <col min="14598" max="14599" width="6" style="162" hidden="1"/>
    <col min="14600" max="14600" width="8.1796875" style="162" hidden="1"/>
    <col min="14601" max="14850" width="9.1796875" style="162" hidden="1"/>
    <col min="14851" max="14851" width="13.1796875" style="162" hidden="1"/>
    <col min="14852" max="14852" width="9.1796875" style="162" hidden="1"/>
    <col min="14853" max="14853" width="7.7265625" style="162" hidden="1"/>
    <col min="14854" max="14855" width="6" style="162" hidden="1"/>
    <col min="14856" max="14856" width="8.1796875" style="162" hidden="1"/>
    <col min="14857" max="15106" width="9.1796875" style="162" hidden="1"/>
    <col min="15107" max="15107" width="13.1796875" style="162" hidden="1"/>
    <col min="15108" max="15108" width="9.1796875" style="162" hidden="1"/>
    <col min="15109" max="15109" width="7.7265625" style="162" hidden="1"/>
    <col min="15110" max="15111" width="6" style="162" hidden="1"/>
    <col min="15112" max="15112" width="8.1796875" style="162" hidden="1"/>
    <col min="15113" max="15362" width="9.1796875" style="162" hidden="1"/>
    <col min="15363" max="15363" width="13.1796875" style="162" hidden="1"/>
    <col min="15364" max="15364" width="9.1796875" style="162" hidden="1"/>
    <col min="15365" max="15365" width="7.7265625" style="162" hidden="1"/>
    <col min="15366" max="15367" width="6" style="162" hidden="1"/>
    <col min="15368" max="15368" width="8.1796875" style="162" hidden="1"/>
    <col min="15369" max="15618" width="9.1796875" style="162" hidden="1"/>
    <col min="15619" max="15619" width="13.1796875" style="162" hidden="1"/>
    <col min="15620" max="15620" width="9.1796875" style="162" hidden="1"/>
    <col min="15621" max="15621" width="7.7265625" style="162" hidden="1"/>
    <col min="15622" max="15623" width="6" style="162" hidden="1"/>
    <col min="15624" max="15624" width="8.1796875" style="162" hidden="1"/>
    <col min="15625" max="15874" width="9.1796875" style="162" hidden="1"/>
    <col min="15875" max="15875" width="13.1796875" style="162" hidden="1"/>
    <col min="15876" max="15876" width="9.1796875" style="162" hidden="1"/>
    <col min="15877" max="15877" width="7.7265625" style="162" hidden="1"/>
    <col min="15878" max="15879" width="6" style="162" hidden="1"/>
    <col min="15880" max="15880" width="8.1796875" style="162" hidden="1"/>
    <col min="15881" max="16130" width="9.1796875" style="162" hidden="1"/>
    <col min="16131" max="16131" width="13.1796875" style="162" hidden="1"/>
    <col min="16132" max="16132" width="9.1796875" style="162" hidden="1"/>
    <col min="16133" max="16133" width="7.7265625" style="162" hidden="1"/>
    <col min="16134" max="16135" width="6" style="162" hidden="1"/>
    <col min="16136" max="16136" width="8.1796875" style="162" hidden="1"/>
    <col min="16137" max="16384" width="9.1796875" style="162" hidden="1"/>
  </cols>
  <sheetData>
    <row r="1" spans="1:10" s="153" customFormat="1" ht="13.5" customHeight="1" x14ac:dyDescent="0.5">
      <c r="H1" s="522" t="s">
        <v>192</v>
      </c>
      <c r="I1" s="522"/>
      <c r="J1" s="522"/>
    </row>
    <row r="2" spans="1:10" s="153" customFormat="1" ht="13.5" customHeight="1" x14ac:dyDescent="0.5">
      <c r="H2" s="522" t="s">
        <v>193</v>
      </c>
      <c r="I2" s="522"/>
      <c r="J2" s="522"/>
    </row>
    <row r="3" spans="1:10" s="153" customFormat="1" ht="13.5" customHeight="1" x14ac:dyDescent="0.5">
      <c r="H3" s="522" t="s">
        <v>194</v>
      </c>
      <c r="I3" s="522"/>
      <c r="J3" s="522"/>
    </row>
    <row r="4" spans="1:10" s="153" customFormat="1" ht="13.5" customHeight="1" x14ac:dyDescent="0.5">
      <c r="H4" s="522" t="s">
        <v>195</v>
      </c>
      <c r="I4" s="522"/>
      <c r="J4" s="522"/>
    </row>
    <row r="5" spans="1:10" s="153" customFormat="1" ht="17" x14ac:dyDescent="0.5">
      <c r="H5" s="154"/>
      <c r="I5" s="154"/>
      <c r="J5" s="154"/>
    </row>
    <row r="6" spans="1:10" s="155" customFormat="1" ht="18" x14ac:dyDescent="0.5">
      <c r="B6" s="523" t="str">
        <f>IF(Quote!A3="",Quote!B2,Quote!A3)</f>
        <v>SAMINCO</v>
      </c>
      <c r="C6" s="524"/>
      <c r="D6" s="525"/>
      <c r="F6" s="526" t="s">
        <v>196</v>
      </c>
      <c r="G6" s="526"/>
      <c r="H6" s="526"/>
      <c r="I6" s="526"/>
      <c r="J6" s="156"/>
    </row>
    <row r="7" spans="1:10" s="155" customFormat="1" ht="15.5" x14ac:dyDescent="0.45">
      <c r="B7" s="523"/>
      <c r="C7" s="524"/>
      <c r="D7" s="525"/>
      <c r="F7" s="527" t="s">
        <v>197</v>
      </c>
      <c r="G7" s="527"/>
      <c r="H7" s="528">
        <f>Quote!B4</f>
        <v>306624</v>
      </c>
      <c r="I7" s="528"/>
      <c r="J7" s="156"/>
    </row>
    <row r="8" spans="1:10" s="155" customFormat="1" ht="15.5" x14ac:dyDescent="0.45">
      <c r="B8" s="523"/>
      <c r="C8" s="524"/>
      <c r="D8" s="525"/>
      <c r="F8" s="527" t="s">
        <v>198</v>
      </c>
      <c r="G8" s="527"/>
      <c r="H8" s="529">
        <v>45238.399317129632</v>
      </c>
      <c r="I8" s="529"/>
    </row>
    <row r="9" spans="1:10" s="155" customFormat="1" ht="15.75" customHeight="1" x14ac:dyDescent="0.45">
      <c r="B9" s="523"/>
      <c r="C9" s="524"/>
      <c r="D9" s="525"/>
      <c r="E9" s="530" t="s">
        <v>230</v>
      </c>
      <c r="F9" s="527"/>
      <c r="G9" s="527"/>
      <c r="H9" s="168"/>
      <c r="I9" s="266" t="s">
        <v>485</v>
      </c>
    </row>
    <row r="10" spans="1:10" s="155" customFormat="1" ht="16" thickBot="1" x14ac:dyDescent="0.5">
      <c r="A10" s="157"/>
      <c r="B10" s="158"/>
      <c r="C10" s="158"/>
      <c r="D10" s="158"/>
      <c r="E10" s="157"/>
      <c r="F10" s="157"/>
      <c r="G10" s="157"/>
      <c r="H10" s="157"/>
      <c r="I10" s="157"/>
      <c r="J10" s="157"/>
    </row>
    <row r="11" spans="1:10" s="155" customFormat="1" ht="16" thickTop="1" x14ac:dyDescent="0.45">
      <c r="J11" s="274"/>
    </row>
    <row r="12" spans="1:10" s="155" customFormat="1" ht="15.5" x14ac:dyDescent="0.45">
      <c r="B12" s="159" t="s">
        <v>199</v>
      </c>
      <c r="C12" s="294" t="str">
        <f>Quote!B5 &amp; IF(Quote!B6 = "",""," Rev. " &amp; Quote!B6)</f>
        <v>MB2623-V4R0 Rev. V4R0</v>
      </c>
      <c r="D12" s="294"/>
      <c r="E12" s="294"/>
    </row>
    <row r="13" spans="1:10" s="155" customFormat="1" ht="15.5" x14ac:dyDescent="0.45"/>
    <row r="14" spans="1:10" s="160" customFormat="1" ht="15.5" hidden="1" x14ac:dyDescent="0.35">
      <c r="B14" s="268" t="str">
        <f>INDEX(Sheet3!B22:B29,Quote!$G$3,1)</f>
        <v>2 Week</v>
      </c>
      <c r="C14" s="268" t="s">
        <v>128</v>
      </c>
      <c r="D14" s="268" t="s">
        <v>328</v>
      </c>
      <c r="E14" s="268" t="str">
        <f>IF(Quote!$B$11=1,"Tooling","")</f>
        <v/>
      </c>
      <c r="F14" s="521" t="str">
        <f>IF(Quote!$B$13=1,"Elect. Test","")</f>
        <v/>
      </c>
      <c r="G14" s="521"/>
      <c r="H14" s="269"/>
      <c r="I14" s="268" t="s">
        <v>327</v>
      </c>
    </row>
    <row r="15" spans="1:10" s="160" customFormat="1" ht="15.5" hidden="1" x14ac:dyDescent="0.35">
      <c r="B15" s="286">
        <f>Quote!C4</f>
        <v>30</v>
      </c>
      <c r="C15" s="287" t="str">
        <f>CHOOSE(Quote!$C$3,"",Quote!G4,Quote!G4/ups)</f>
        <v/>
      </c>
      <c r="D15" s="289">
        <f>CHOOSE(Quote!$C$3,Quote!G4,"","")</f>
        <v>1526.4</v>
      </c>
      <c r="E15" s="270">
        <f>Quote!$B$10*IF(Quote!$B$11=1,1,0)</f>
        <v>0</v>
      </c>
      <c r="F15" s="516">
        <f>Quote!$B$12*IF(Quote!$B$13=1,1,0)</f>
        <v>0</v>
      </c>
      <c r="G15" s="516"/>
      <c r="H15" s="271"/>
      <c r="I15" s="270"/>
    </row>
    <row r="16" spans="1:10" s="160" customFormat="1" ht="15.5" hidden="1" x14ac:dyDescent="0.35">
      <c r="B16" s="286">
        <f>Quote!C5</f>
        <v>60</v>
      </c>
      <c r="C16" s="287" t="str">
        <f>CHOOSE(Quote!$C$3,"",Quote!G5,Quote!G5/ups)</f>
        <v/>
      </c>
      <c r="D16" s="289">
        <f>CHOOSE(Quote!$C$3,Quote!G5,"","")</f>
        <v>2182.1999999999998</v>
      </c>
      <c r="E16" s="270">
        <f>Quote!$B$10*IF(Quote!$B$11=1,1,0)</f>
        <v>0</v>
      </c>
      <c r="F16" s="516">
        <f>Quote!$B$12*IF(Quote!$B$13=1,1,0)</f>
        <v>0</v>
      </c>
      <c r="G16" s="516"/>
      <c r="H16" s="271"/>
      <c r="I16" s="270"/>
    </row>
    <row r="17" spans="2:9" s="160" customFormat="1" ht="15.5" hidden="1" x14ac:dyDescent="0.35">
      <c r="B17" s="286">
        <f>Quote!C6</f>
        <v>50</v>
      </c>
      <c r="C17" s="287" t="str">
        <f>CHOOSE(Quote!$C$3,"",Quote!G6,Quote!G6/ups)</f>
        <v/>
      </c>
      <c r="D17" s="289">
        <f>CHOOSE(Quote!$C$3,Quote!G6,"","")</f>
        <v>1963.5000000000002</v>
      </c>
      <c r="E17" s="270">
        <f>Quote!$B$10*IF(Quote!$B$11=1,1,0)</f>
        <v>0</v>
      </c>
      <c r="F17" s="516">
        <f>Quote!$B$12*IF(Quote!$B$13=1,1,0)</f>
        <v>0</v>
      </c>
      <c r="G17" s="516"/>
      <c r="H17" s="271"/>
      <c r="I17" s="270"/>
    </row>
    <row r="18" spans="2:9" s="160" customFormat="1" ht="15.5" hidden="1" x14ac:dyDescent="0.35">
      <c r="B18" s="286">
        <f>Quote!C7</f>
        <v>0</v>
      </c>
      <c r="C18" s="288" t="str">
        <f>CHOOSE(Quote!$C$3,"",Quote!G7,Quote!G7/ups)</f>
        <v/>
      </c>
      <c r="D18" s="289" t="e">
        <f>CHOOSE(Quote!$C$3,Quote!G7,"","")</f>
        <v>#DIV/0!</v>
      </c>
      <c r="E18" s="270">
        <f>Quote!$B$10*IF(Quote!$B$11=1,1,0)</f>
        <v>0</v>
      </c>
      <c r="F18" s="516">
        <f>Quote!$B$12*IF(Quote!$B$13=1,1,0)</f>
        <v>0</v>
      </c>
      <c r="G18" s="516"/>
      <c r="H18" s="271"/>
      <c r="I18" s="270"/>
    </row>
    <row r="19" spans="2:9" s="160" customFormat="1" ht="15.5" hidden="1" x14ac:dyDescent="0.35">
      <c r="B19" s="286">
        <f>Quote!C8</f>
        <v>0</v>
      </c>
      <c r="C19" s="287" t="str">
        <f>CHOOSE(Quote!$C$3,"",Quote!G8,Quote!G8/ups)</f>
        <v/>
      </c>
      <c r="D19" s="289" t="e">
        <f>CHOOSE(Quote!$C$3,Quote!G8,"","")</f>
        <v>#DIV/0!</v>
      </c>
      <c r="E19" s="270">
        <f>Quote!$B$10*IF(Quote!$B$11=1,1,0)</f>
        <v>0</v>
      </c>
      <c r="F19" s="516">
        <f>Quote!$B$12*IF(Quote!$B$13=1,1,0)</f>
        <v>0</v>
      </c>
      <c r="G19" s="516"/>
      <c r="H19" s="271"/>
      <c r="I19" s="270"/>
    </row>
    <row r="20" spans="2:9" s="160" customFormat="1" ht="15.5" hidden="1" x14ac:dyDescent="0.35">
      <c r="B20" s="286">
        <f>Quote!C9</f>
        <v>0</v>
      </c>
      <c r="C20" s="287" t="str">
        <f>CHOOSE(Quote!$C$3,"",Quote!G9,Quote!G9/ups)</f>
        <v/>
      </c>
      <c r="D20" s="289" t="e">
        <f>CHOOSE(Quote!$C$3,Quote!G9,"","")</f>
        <v>#DIV/0!</v>
      </c>
      <c r="E20" s="270">
        <f>Quote!$B$10*IF(Quote!$B$11=1,1,0)</f>
        <v>0</v>
      </c>
      <c r="F20" s="516">
        <f>Quote!$B$12*IF(Quote!$B$13=1,1,0)</f>
        <v>0</v>
      </c>
      <c r="G20" s="516"/>
      <c r="H20" s="271"/>
      <c r="I20" s="270"/>
    </row>
    <row r="21" spans="2:9" s="160" customFormat="1" ht="15.5" hidden="1" x14ac:dyDescent="0.35">
      <c r="B21" s="286">
        <f>Quote!C10</f>
        <v>0</v>
      </c>
      <c r="C21" s="287" t="str">
        <f>CHOOSE(Quote!$C$3,"",Quote!G10,Quote!G10/ups)</f>
        <v/>
      </c>
      <c r="D21" s="289" t="e">
        <f>CHOOSE(Quote!$C$3,Quote!G10,"","")</f>
        <v>#DIV/0!</v>
      </c>
      <c r="E21" s="270">
        <f>Quote!$B$10*IF(Quote!$B$11=1,1,0)</f>
        <v>0</v>
      </c>
      <c r="F21" s="516">
        <f>Quote!$B$12*IF(Quote!$B$13=1,1,0)</f>
        <v>0</v>
      </c>
      <c r="G21" s="516"/>
      <c r="H21" s="271"/>
      <c r="I21" s="270"/>
    </row>
    <row r="22" spans="2:9" s="160" customFormat="1" ht="15.5" hidden="1" x14ac:dyDescent="0.35">
      <c r="B22" s="286">
        <f>Quote!C11</f>
        <v>40</v>
      </c>
      <c r="C22" s="287" t="str">
        <f>CHOOSE(Quote!$C$3,"",Quote!G11,Quote!G11/ups)</f>
        <v/>
      </c>
      <c r="D22" s="289">
        <f>CHOOSE(Quote!$C$3,Quote!G11,"","")</f>
        <v>1744.8</v>
      </c>
      <c r="E22" s="270">
        <f>Quote!$B$10*IF(Quote!$B$11=1,1,0)</f>
        <v>0</v>
      </c>
      <c r="F22" s="516">
        <f>Quote!$B$12*IF(Quote!$B$13=1,1,0)</f>
        <v>0</v>
      </c>
      <c r="G22" s="516"/>
      <c r="H22" s="271"/>
      <c r="I22" s="270"/>
    </row>
    <row r="23" spans="2:9" s="160" customFormat="1" ht="15" hidden="1" customHeight="1" x14ac:dyDescent="0.35">
      <c r="B23" s="268" t="str">
        <f>INDEX(Sheet3!B22:B29,Quote!$F$3,1)</f>
        <v>5 Day</v>
      </c>
      <c r="C23" s="268" t="s">
        <v>128</v>
      </c>
      <c r="D23" s="268" t="s">
        <v>328</v>
      </c>
      <c r="E23" s="268" t="str">
        <f>IF(Quote!$B$11=1,"Tooling","")</f>
        <v/>
      </c>
      <c r="F23" s="521" t="str">
        <f>IF(Quote!$B$13=1,"Elect. Test","")</f>
        <v/>
      </c>
      <c r="G23" s="521"/>
      <c r="H23" s="272"/>
      <c r="I23" s="273" t="s">
        <v>327</v>
      </c>
    </row>
    <row r="24" spans="2:9" s="160" customFormat="1" ht="15" hidden="1" customHeight="1" x14ac:dyDescent="0.35">
      <c r="B24" s="286">
        <f>Quote!C4</f>
        <v>30</v>
      </c>
      <c r="C24" s="287" t="str">
        <f>CHOOSE(Quote!$C$3,"",Quote!F4,Quote!F4/ups)</f>
        <v/>
      </c>
      <c r="D24" s="289">
        <f>CHOOSE(Quote!$C$3,Quote!F4,"","")</f>
        <v>1752</v>
      </c>
      <c r="E24" s="270">
        <f>Quote!$B$10*IF(Quote!$B$11=1,1,0)</f>
        <v>0</v>
      </c>
      <c r="F24" s="516">
        <f>Quote!$B$12*IF(Quote!$B$13=1,1,0)</f>
        <v>0</v>
      </c>
      <c r="G24" s="516"/>
      <c r="H24" s="271"/>
      <c r="I24" s="270"/>
    </row>
    <row r="25" spans="2:9" s="160" customFormat="1" ht="15" hidden="1" customHeight="1" x14ac:dyDescent="0.35">
      <c r="B25" s="286">
        <f>Quote!C5</f>
        <v>60</v>
      </c>
      <c r="C25" s="287" t="str">
        <f>CHOOSE(Quote!$C$3,"",Quote!F5,Quote!F5/ups)</f>
        <v/>
      </c>
      <c r="D25" s="289">
        <f>CHOOSE(Quote!$C$3,Quote!F5,"","")</f>
        <v>2536.8000000000002</v>
      </c>
      <c r="E25" s="270">
        <f>Quote!$B$10*IF(Quote!$B$11=1,1,0)</f>
        <v>0</v>
      </c>
      <c r="F25" s="516">
        <f>Quote!$B$12*IF(Quote!$B$13=1,1,0)</f>
        <v>0</v>
      </c>
      <c r="G25" s="516"/>
      <c r="H25" s="271"/>
      <c r="I25" s="270"/>
    </row>
    <row r="26" spans="2:9" s="160" customFormat="1" ht="15" hidden="1" customHeight="1" x14ac:dyDescent="0.35">
      <c r="B26" s="286">
        <f>Quote!C6</f>
        <v>50</v>
      </c>
      <c r="C26" s="287" t="str">
        <f>CHOOSE(Quote!$C$3,"",Quote!F6,Quote!F6/ups)</f>
        <v/>
      </c>
      <c r="D26" s="289">
        <f>CHOOSE(Quote!$C$3,Quote!F6,"","")</f>
        <v>2275.5</v>
      </c>
      <c r="E26" s="270">
        <f>Quote!$B$10*IF(Quote!$B$11=1,1,0)</f>
        <v>0</v>
      </c>
      <c r="F26" s="516">
        <f>Quote!$B$12*IF(Quote!$B$13=1,1,0)</f>
        <v>0</v>
      </c>
      <c r="G26" s="516"/>
      <c r="H26" s="271"/>
      <c r="I26" s="270"/>
    </row>
    <row r="27" spans="2:9" s="160" customFormat="1" ht="15" hidden="1" customHeight="1" x14ac:dyDescent="0.35">
      <c r="B27" s="286">
        <f>Quote!C7</f>
        <v>0</v>
      </c>
      <c r="C27" s="287" t="str">
        <f>CHOOSE(Quote!$C$3,"",Quote!F7,Quote!F7/ups)</f>
        <v/>
      </c>
      <c r="D27" s="289" t="e">
        <f>CHOOSE(Quote!$C$3,Quote!F7,"","")</f>
        <v>#DIV/0!</v>
      </c>
      <c r="E27" s="270">
        <f>Quote!$B$10*IF(Quote!$B$11=1,1,0)</f>
        <v>0</v>
      </c>
      <c r="F27" s="516">
        <f>Quote!$B$12*IF(Quote!$B$13=1,1,0)</f>
        <v>0</v>
      </c>
      <c r="G27" s="516"/>
      <c r="H27" s="271"/>
      <c r="I27" s="270"/>
    </row>
    <row r="28" spans="2:9" s="160" customFormat="1" ht="15" hidden="1" customHeight="1" x14ac:dyDescent="0.35">
      <c r="B28" s="286">
        <f>Quote!C8</f>
        <v>0</v>
      </c>
      <c r="C28" s="287" t="str">
        <f>CHOOSE(Quote!$C$3,"",Quote!F8,Quote!F8/ups)</f>
        <v/>
      </c>
      <c r="D28" s="289" t="e">
        <f>CHOOSE(Quote!$C$3,Quote!F8,"","")</f>
        <v>#DIV/0!</v>
      </c>
      <c r="E28" s="270">
        <f>Quote!$B$10*IF(Quote!$B$11=1,1,0)</f>
        <v>0</v>
      </c>
      <c r="F28" s="516">
        <f>Quote!$B$12*IF(Quote!$B$13=1,1,0)</f>
        <v>0</v>
      </c>
      <c r="G28" s="516"/>
      <c r="H28" s="271"/>
      <c r="I28" s="270"/>
    </row>
    <row r="29" spans="2:9" s="160" customFormat="1" ht="15.5" hidden="1" x14ac:dyDescent="0.35">
      <c r="B29" s="286">
        <f>Quote!C9</f>
        <v>0</v>
      </c>
      <c r="C29" s="287" t="str">
        <f>CHOOSE(Quote!$C$3,"",Quote!F9,Quote!F9/ups)</f>
        <v/>
      </c>
      <c r="D29" s="289" t="e">
        <f>CHOOSE(Quote!$C$3,Quote!F9,"","")</f>
        <v>#DIV/0!</v>
      </c>
      <c r="E29" s="270">
        <f>Quote!$B$10*IF(Quote!$B$11=1,1,0)</f>
        <v>0</v>
      </c>
      <c r="F29" s="516">
        <f>Quote!$B$12*IF(Quote!$B$13=1,1,0)</f>
        <v>0</v>
      </c>
      <c r="G29" s="516"/>
      <c r="H29" s="271"/>
      <c r="I29" s="270"/>
    </row>
    <row r="30" spans="2:9" s="160" customFormat="1" ht="15.5" hidden="1" x14ac:dyDescent="0.35">
      <c r="B30" s="286">
        <f>Quote!C10</f>
        <v>0</v>
      </c>
      <c r="C30" s="287" t="str">
        <f>CHOOSE(Quote!$C$3,"",Quote!F10,Quote!F10/ups)</f>
        <v/>
      </c>
      <c r="D30" s="289" t="e">
        <f>CHOOSE(Quote!$C$3,Quote!F10,"","")</f>
        <v>#DIV/0!</v>
      </c>
      <c r="E30" s="270">
        <f>Quote!$B$10*IF(Quote!$B$11=1,1,0)</f>
        <v>0</v>
      </c>
      <c r="F30" s="516">
        <f>Quote!$B$12*IF(Quote!$B$13=1,1,0)</f>
        <v>0</v>
      </c>
      <c r="G30" s="516"/>
      <c r="H30" s="271"/>
      <c r="I30" s="270"/>
    </row>
    <row r="31" spans="2:9" s="160" customFormat="1" ht="15.5" hidden="1" x14ac:dyDescent="0.35">
      <c r="B31" s="286">
        <f>Quote!C11</f>
        <v>40</v>
      </c>
      <c r="C31" s="287" t="str">
        <f>CHOOSE(Quote!$C$3,"",Quote!F11,Quote!F11/ups)</f>
        <v/>
      </c>
      <c r="D31" s="289">
        <f>CHOOSE(Quote!$C$3,Quote!F11,"","")</f>
        <v>2013.6000000000001</v>
      </c>
      <c r="E31" s="270">
        <f>Quote!$B$10*IF(Quote!$B$11=1,1,0)</f>
        <v>0</v>
      </c>
      <c r="F31" s="516">
        <f>Quote!$B$12*IF(Quote!$B$13=1,1,0)</f>
        <v>0</v>
      </c>
      <c r="G31" s="516"/>
      <c r="H31" s="271"/>
      <c r="I31" s="270"/>
    </row>
    <row r="32" spans="2:9" s="161" customFormat="1" ht="15" hidden="1" customHeight="1" x14ac:dyDescent="0.35">
      <c r="B32" s="268" t="str">
        <f>INDEX(Sheet3!B22:B29,Quote!$E$3,1)</f>
        <v>3 Day</v>
      </c>
      <c r="C32" s="268" t="s">
        <v>128</v>
      </c>
      <c r="D32" s="268" t="s">
        <v>328</v>
      </c>
      <c r="E32" s="268" t="str">
        <f>IF(Quote!$B$11=1,"Tooling","")</f>
        <v/>
      </c>
      <c r="F32" s="521" t="str">
        <f>IF(Quote!$B$13=1,"Elect. Test","")</f>
        <v/>
      </c>
      <c r="G32" s="521"/>
      <c r="H32" s="272"/>
      <c r="I32" s="273" t="s">
        <v>327</v>
      </c>
    </row>
    <row r="33" spans="2:9" s="160" customFormat="1" ht="15.5" hidden="1" x14ac:dyDescent="0.35">
      <c r="B33" s="286">
        <f>Quote!C4</f>
        <v>30</v>
      </c>
      <c r="C33" s="287" t="str">
        <f>CHOOSE(Quote!$C$3,"",Quote!E4,Quote!E4/ups)</f>
        <v/>
      </c>
      <c r="D33" s="289">
        <f>CHOOSE(Quote!$C$3,Quote!E4,"","")</f>
        <v>3105.6</v>
      </c>
      <c r="E33" s="270">
        <f>Quote!$B$10*IF(Quote!$B$11=1,1,0)</f>
        <v>0</v>
      </c>
      <c r="F33" s="516">
        <f>Quote!$B$12*IF(Quote!$B$13=1,1,0)</f>
        <v>0</v>
      </c>
      <c r="G33" s="516"/>
      <c r="H33" s="271"/>
      <c r="I33" s="270"/>
    </row>
    <row r="34" spans="2:9" s="160" customFormat="1" ht="15.5" hidden="1" x14ac:dyDescent="0.35">
      <c r="B34" s="286">
        <f>Quote!C5</f>
        <v>60</v>
      </c>
      <c r="C34" s="287" t="str">
        <f>CHOOSE(Quote!$C$3,"",Quote!E5,Quote!E5/ups)</f>
        <v/>
      </c>
      <c r="D34" s="289">
        <f>CHOOSE(Quote!$C$3,Quote!E5,"","")</f>
        <v>4665.6000000000004</v>
      </c>
      <c r="E34" s="270">
        <f>Quote!$B$10*IF(Quote!$B$11=1,1,0)</f>
        <v>0</v>
      </c>
      <c r="F34" s="516">
        <f>Quote!$B$12*IF(Quote!$B$13=1,1,0)</f>
        <v>0</v>
      </c>
      <c r="G34" s="516"/>
      <c r="H34" s="271"/>
      <c r="I34" s="270"/>
    </row>
    <row r="35" spans="2:9" s="160" customFormat="1" ht="15.5" hidden="1" x14ac:dyDescent="0.35">
      <c r="B35" s="286">
        <f>Quote!C6</f>
        <v>50</v>
      </c>
      <c r="C35" s="287" t="str">
        <f>CHOOSE(Quote!$C$3,"",Quote!E6,Quote!E6/ups)</f>
        <v/>
      </c>
      <c r="D35" s="289">
        <f>CHOOSE(Quote!$C$3,Quote!E6,"","")</f>
        <v>4145.5</v>
      </c>
      <c r="E35" s="270">
        <f>Quote!$B$10*IF(Quote!$B$11=1,1,0)</f>
        <v>0</v>
      </c>
      <c r="F35" s="516">
        <f>Quote!$B$12*IF(Quote!$B$13=1,1,0)</f>
        <v>0</v>
      </c>
      <c r="G35" s="516"/>
      <c r="H35" s="271"/>
      <c r="I35" s="270"/>
    </row>
    <row r="36" spans="2:9" s="160" customFormat="1" ht="15.5" hidden="1" x14ac:dyDescent="0.35">
      <c r="B36" s="286">
        <f>Quote!C7</f>
        <v>0</v>
      </c>
      <c r="C36" s="287" t="str">
        <f>CHOOSE(Quote!$C$3,"",Quote!E7,Quote!E7/ups)</f>
        <v/>
      </c>
      <c r="D36" s="289" t="e">
        <f>CHOOSE(Quote!$C$3,Quote!E7,"","")</f>
        <v>#DIV/0!</v>
      </c>
      <c r="E36" s="270">
        <f>Quote!$B$10*IF(Quote!$B$11=1,1,0)</f>
        <v>0</v>
      </c>
      <c r="F36" s="516">
        <f>Quote!$B$12*IF(Quote!$B$13=1,1,0)</f>
        <v>0</v>
      </c>
      <c r="G36" s="516"/>
      <c r="H36" s="271"/>
      <c r="I36" s="270"/>
    </row>
    <row r="37" spans="2:9" s="160" customFormat="1" ht="15.5" hidden="1" x14ac:dyDescent="0.35">
      <c r="B37" s="286">
        <f>Quote!C8</f>
        <v>0</v>
      </c>
      <c r="C37" s="287" t="str">
        <f>CHOOSE(Quote!$C$3,"",Quote!E8,Quote!E8/ups)</f>
        <v/>
      </c>
      <c r="D37" s="289" t="e">
        <f>CHOOSE(Quote!$C$3,Quote!E8,"","")</f>
        <v>#DIV/0!</v>
      </c>
      <c r="E37" s="270">
        <f>Quote!$B$10*IF(Quote!$B$11=1,1,0)</f>
        <v>0</v>
      </c>
      <c r="F37" s="516">
        <f>Quote!$B$12*IF(Quote!$B$13=1,1,0)</f>
        <v>0</v>
      </c>
      <c r="G37" s="516"/>
      <c r="H37" s="271"/>
      <c r="I37" s="270"/>
    </row>
    <row r="38" spans="2:9" s="160" customFormat="1" ht="15.5" hidden="1" x14ac:dyDescent="0.35">
      <c r="B38" s="286">
        <f>Quote!C9</f>
        <v>0</v>
      </c>
      <c r="C38" s="287" t="str">
        <f>CHOOSE(Quote!$C$3,"",Quote!E9,Quote!E9/ups)</f>
        <v/>
      </c>
      <c r="D38" s="289" t="e">
        <f>CHOOSE(Quote!$C$3,Quote!E9,"","")</f>
        <v>#DIV/0!</v>
      </c>
      <c r="E38" s="270">
        <f>Quote!$B$10*IF(Quote!$B$11=1,1,0)</f>
        <v>0</v>
      </c>
      <c r="F38" s="516">
        <f>Quote!$B$12*IF(Quote!$B$13=1,1,0)</f>
        <v>0</v>
      </c>
      <c r="G38" s="516"/>
      <c r="H38" s="271"/>
      <c r="I38" s="270"/>
    </row>
    <row r="39" spans="2:9" s="160" customFormat="1" ht="15.5" hidden="1" x14ac:dyDescent="0.35">
      <c r="B39" s="286">
        <f>Quote!C10</f>
        <v>0</v>
      </c>
      <c r="C39" s="287" t="str">
        <f>CHOOSE(Quote!$C$3,"",Quote!E10,Quote!E10/ups)</f>
        <v/>
      </c>
      <c r="D39" s="289" t="e">
        <f>CHOOSE(Quote!$C$3,Quote!E10,"","")</f>
        <v>#DIV/0!</v>
      </c>
      <c r="E39" s="270">
        <f>Quote!$B$10*IF(Quote!$B$11=1,1,0)</f>
        <v>0</v>
      </c>
      <c r="F39" s="516">
        <f>Quote!$B$12*IF(Quote!$B$13=1,1,0)</f>
        <v>0</v>
      </c>
      <c r="G39" s="516"/>
      <c r="H39" s="271"/>
      <c r="I39" s="270"/>
    </row>
    <row r="40" spans="2:9" s="160" customFormat="1" ht="15.5" hidden="1" x14ac:dyDescent="0.35">
      <c r="B40" s="286">
        <f>Quote!C11</f>
        <v>40</v>
      </c>
      <c r="C40" s="287" t="str">
        <f>CHOOSE(Quote!$C$3,"",Quote!E11,Quote!E11/ups)</f>
        <v/>
      </c>
      <c r="D40" s="289">
        <f>CHOOSE(Quote!$C$3,Quote!E11,"","")</f>
        <v>3625.6</v>
      </c>
      <c r="E40" s="270">
        <f>Quote!$B$10*IF(Quote!$B$11=1,1,0)</f>
        <v>0</v>
      </c>
      <c r="F40" s="516">
        <f>Quote!$B$12*IF(Quote!$B$13=1,1,0)</f>
        <v>0</v>
      </c>
      <c r="G40" s="516"/>
      <c r="H40" s="271"/>
      <c r="I40" s="270"/>
    </row>
    <row r="41" spans="2:9" s="161" customFormat="1" ht="15" customHeight="1" x14ac:dyDescent="0.35">
      <c r="B41" s="268" t="str">
        <f>INDEX(Sheet3!B22:B29,Quote!$D$3,1)</f>
        <v>1 Day</v>
      </c>
      <c r="C41" s="268" t="s">
        <v>128</v>
      </c>
      <c r="D41" s="268" t="s">
        <v>328</v>
      </c>
      <c r="E41" s="268" t="str">
        <f>IF(Quote!$B$11=1,"Tooling","")</f>
        <v/>
      </c>
      <c r="F41" s="521" t="str">
        <f>IF(Quote!$B$13=1,"Elect. Test","")</f>
        <v/>
      </c>
      <c r="G41" s="521"/>
      <c r="H41" s="272"/>
      <c r="I41" s="273" t="s">
        <v>327</v>
      </c>
    </row>
    <row r="42" spans="2:9" s="160" customFormat="1" ht="15.5" hidden="1" x14ac:dyDescent="0.35">
      <c r="B42" s="286">
        <f>Quote!C4</f>
        <v>30</v>
      </c>
      <c r="C42" s="287" t="str">
        <f>CHOOSE(Quote!$C$3,"",Quote!D4,Quote!D4/ups)</f>
        <v/>
      </c>
      <c r="D42" s="289">
        <f>CHOOSE(Quote!$C$3,Quote!D4,"","")</f>
        <v>4748.1000000000004</v>
      </c>
      <c r="E42" s="270">
        <f>Quote!$B$10*IF(Quote!$B$11=1,1,0)</f>
        <v>0</v>
      </c>
      <c r="F42" s="516">
        <f>Quote!$B$12*IF(Quote!$B$13=1,1,0)</f>
        <v>0</v>
      </c>
      <c r="G42" s="516"/>
      <c r="H42" s="271"/>
      <c r="I42" s="270"/>
    </row>
    <row r="43" spans="2:9" s="160" customFormat="1" ht="15.5" x14ac:dyDescent="0.35">
      <c r="B43" s="286">
        <f>Quote!C5</f>
        <v>60</v>
      </c>
      <c r="C43" s="287" t="str">
        <f>CHOOSE(Quote!$C$3,"",Quote!D5,Quote!D5/ups)</f>
        <v/>
      </c>
      <c r="D43" s="289">
        <f>CHOOSE(Quote!$C$3,Quote!D5,"","")</f>
        <v>7248</v>
      </c>
      <c r="E43" s="270">
        <f>Quote!$B$10*IF(Quote!$B$11=1,1,0)</f>
        <v>0</v>
      </c>
      <c r="F43" s="516">
        <f>Quote!$B$12*IF(Quote!$B$13=1,1,0)</f>
        <v>0</v>
      </c>
      <c r="G43" s="516"/>
      <c r="H43" s="271"/>
      <c r="I43" s="270"/>
    </row>
    <row r="44" spans="2:9" s="160" customFormat="1" ht="15.5" hidden="1" x14ac:dyDescent="0.35">
      <c r="B44" s="286">
        <f>Quote!C6</f>
        <v>50</v>
      </c>
      <c r="C44" s="287" t="str">
        <f>CHOOSE(Quote!$C$3,"",Quote!D6,Quote!D6/ups)</f>
        <v/>
      </c>
      <c r="D44" s="289">
        <f>CHOOSE(Quote!$C$3,Quote!D6,"","")</f>
        <v>6415.0000000000009</v>
      </c>
      <c r="E44" s="270">
        <f>Quote!$B$10*IF(Quote!$B$11=1,1,0)</f>
        <v>0</v>
      </c>
      <c r="F44" s="516">
        <f>Quote!$B$12*IF(Quote!$B$13=1,1,0)</f>
        <v>0</v>
      </c>
      <c r="G44" s="516"/>
      <c r="H44" s="271"/>
      <c r="I44" s="270"/>
    </row>
    <row r="45" spans="2:9" s="160" customFormat="1" ht="15.5" hidden="1" x14ac:dyDescent="0.35">
      <c r="B45" s="286">
        <f>Quote!C7</f>
        <v>0</v>
      </c>
      <c r="C45" s="287" t="str">
        <f>CHOOSE(Quote!$C$3,"",Quote!D7,Quote!D7/ups)</f>
        <v/>
      </c>
      <c r="D45" s="289" t="e">
        <f>CHOOSE(Quote!$C$3,Quote!D7,"","")</f>
        <v>#DIV/0!</v>
      </c>
      <c r="E45" s="270">
        <f>Quote!$B$10*IF(Quote!$B$11=1,1,0)</f>
        <v>0</v>
      </c>
      <c r="F45" s="516">
        <f>Quote!$B$12*IF(Quote!$B$13=1,1,0)</f>
        <v>0</v>
      </c>
      <c r="G45" s="516"/>
      <c r="H45" s="271"/>
      <c r="I45" s="270"/>
    </row>
    <row r="46" spans="2:9" s="160" customFormat="1" ht="15.5" hidden="1" x14ac:dyDescent="0.35">
      <c r="B46" s="286">
        <f>Quote!C8</f>
        <v>0</v>
      </c>
      <c r="C46" s="287" t="str">
        <f>CHOOSE(Quote!$C$3,"",Quote!D8,Quote!D8/ups)</f>
        <v/>
      </c>
      <c r="D46" s="289" t="e">
        <f>CHOOSE(Quote!$C$3,Quote!D8,"","")</f>
        <v>#DIV/0!</v>
      </c>
      <c r="E46" s="270">
        <f>Quote!$B$10*IF(Quote!$B$11=1,1,0)</f>
        <v>0</v>
      </c>
      <c r="F46" s="516">
        <f>Quote!$B$12*IF(Quote!$B$13=1,1,0)</f>
        <v>0</v>
      </c>
      <c r="G46" s="516"/>
      <c r="H46" s="271"/>
      <c r="I46" s="270"/>
    </row>
    <row r="47" spans="2:9" s="160" customFormat="1" ht="15.5" hidden="1" x14ac:dyDescent="0.35">
      <c r="B47" s="286">
        <f>Quote!C9</f>
        <v>0</v>
      </c>
      <c r="C47" s="287" t="str">
        <f>CHOOSE(Quote!$C$3,"",Quote!D9,Quote!D9/ups)</f>
        <v/>
      </c>
      <c r="D47" s="289" t="e">
        <f>CHOOSE(Quote!$C$3,Quote!D9,"","")</f>
        <v>#DIV/0!</v>
      </c>
      <c r="E47" s="270">
        <f>Quote!$B$10*IF(Quote!$B$11=1,1,0)</f>
        <v>0</v>
      </c>
      <c r="F47" s="516">
        <f>Quote!$B$12*IF(Quote!$B$13=1,1,0)</f>
        <v>0</v>
      </c>
      <c r="G47" s="516"/>
      <c r="H47" s="271"/>
      <c r="I47" s="270"/>
    </row>
    <row r="48" spans="2:9" s="160" customFormat="1" ht="15.5" hidden="1" x14ac:dyDescent="0.35">
      <c r="B48" s="286">
        <f>Quote!C10</f>
        <v>0</v>
      </c>
      <c r="C48" s="287" t="str">
        <f>CHOOSE(Quote!$C$3,"",Quote!D10,Quote!D10/ups)</f>
        <v/>
      </c>
      <c r="D48" s="289" t="e">
        <f>CHOOSE(Quote!$C$3,Quote!D10,"","")</f>
        <v>#DIV/0!</v>
      </c>
      <c r="E48" s="270">
        <f>Quote!$B$10*IF(Quote!$B$11=1,1,0)</f>
        <v>0</v>
      </c>
      <c r="F48" s="516">
        <f>Quote!$B$12*IF(Quote!$B$13=1,1,0)</f>
        <v>0</v>
      </c>
      <c r="G48" s="516"/>
      <c r="H48" s="271"/>
      <c r="I48" s="270"/>
    </row>
    <row r="49" spans="1:9" s="160" customFormat="1" ht="15.5" hidden="1" x14ac:dyDescent="0.35">
      <c r="B49" s="286">
        <f>Quote!C11</f>
        <v>40</v>
      </c>
      <c r="C49" s="287" t="str">
        <f>CHOOSE(Quote!$C$3,"",Quote!D11,Quote!D11/ups)</f>
        <v/>
      </c>
      <c r="D49" s="289">
        <f>CHOOSE(Quote!$C$3,Quote!D11,"","")</f>
        <v>5581.5999999999995</v>
      </c>
      <c r="E49" s="270">
        <f>Quote!$B$10*IF(Quote!$B$11=1,1,0)</f>
        <v>0</v>
      </c>
      <c r="F49" s="516">
        <f>Quote!$B$12*IF(Quote!$B$13=1,1,0)</f>
        <v>0</v>
      </c>
      <c r="G49" s="516"/>
      <c r="H49" s="271"/>
      <c r="I49" s="270"/>
    </row>
    <row r="50" spans="1:9" s="153" customFormat="1" ht="17" x14ac:dyDescent="0.5"/>
    <row r="51" spans="1:9" ht="14.5" x14ac:dyDescent="0.45">
      <c r="A51" s="518" t="s">
        <v>200</v>
      </c>
      <c r="B51" s="518"/>
      <c r="C51" s="518"/>
      <c r="F51" s="518" t="s">
        <v>38</v>
      </c>
      <c r="G51" s="518"/>
      <c r="H51" s="518"/>
      <c r="I51" s="518"/>
    </row>
    <row r="52" spans="1:9" x14ac:dyDescent="0.4">
      <c r="B52" s="163" t="s">
        <v>201</v>
      </c>
      <c r="C52" s="267" t="str">
        <f>IF(ISBLANK(Quote!D20),INDEX(Sheet2!C10:C24,Quote!$B$20,1),Quote!D20)</f>
        <v>4-Layer</v>
      </c>
      <c r="D52" s="177"/>
      <c r="E52" s="177"/>
      <c r="F52" s="519" t="str">
        <f>IF(Quote!B38-1,IF(ISBLANK(Quote!D38),Quote!A38,Quote!D38) &amp; IF(SUM(Quote!B39+Quote!B40+Quote!B41+Quote!B42)=3,"",", "),"") &amp; IF(Quote!B39-1,IF(ISBLANK(Quote!D39),Quote!A39,Quote!D39) &amp; IF(SUM(Quote!B40,Quote!B41,Quote!B42)=2,"",", "),"") &amp; IF(Quote!B40,IF(ISBLANK(Quote!D40),Quote!A40,Quote!D40) &amp; IF(SUM(Quote!B41,Quote!B42)=2,"",", "),"") &amp; IF(Quote!B41-1,IF(ISBLANK(Quote!D41),Quote!A41,Quote!D41) &amp; IF(Quote!B42-1,", ",""),"") &amp; IF(Quote!B42-1,IF(ISBLANK(Quote!D42),Quote!A42,Quote!D42),"")</f>
        <v>Slots, Scoring</v>
      </c>
      <c r="G52" s="519"/>
      <c r="H52" s="519"/>
      <c r="I52" s="519"/>
    </row>
    <row r="53" spans="1:9" x14ac:dyDescent="0.4">
      <c r="B53" s="163" t="s">
        <v>202</v>
      </c>
      <c r="C53" s="267" t="str">
        <f>IF(ISBLANK(Quote!D22),INDEX(Sheet2!E10:E20,Sheet2!E9,1),Quote!D22)</f>
        <v>FR-4 min. Tg 170</v>
      </c>
      <c r="D53" s="177"/>
      <c r="E53" s="177"/>
      <c r="F53" s="519"/>
      <c r="G53" s="519"/>
      <c r="H53" s="519"/>
      <c r="I53" s="519"/>
    </row>
    <row r="54" spans="1:9" x14ac:dyDescent="0.4">
      <c r="B54" s="163" t="s">
        <v>203</v>
      </c>
      <c r="C54" s="267" t="str">
        <f>IF(ISBLANK(Quote!D23),INDEX(Sheet2!F10:F14,Sheet2!F9,1),Quote!D23)</f>
        <v>Standard:  .062"</v>
      </c>
      <c r="D54" s="177"/>
      <c r="E54" s="177"/>
      <c r="F54" s="519"/>
      <c r="G54" s="519"/>
      <c r="H54" s="519"/>
      <c r="I54" s="519"/>
    </row>
    <row r="55" spans="1:9" x14ac:dyDescent="0.4">
      <c r="B55" s="163" t="s">
        <v>204</v>
      </c>
      <c r="C55" s="267" t="str">
        <f>CONCATENATE(IF(ISBLANK(Quote!D24),INDEX(Sheet2!G10:G18,Sheet2!G9,1),Quote!D24), IF(Quote!$B$25&gt;1,IF(ISBLANK(Quote!D25), CONCATENATE(" &amp; ", Quote!A25),CONCATENATE(" &amp; ", Quote!D25)),"")) &amp; IF(Quote!C24&gt;1," + " &amp; INDEX(Sheet2!AH10:AH12,Sheet2!AH9),)</f>
        <v>ENIG</v>
      </c>
      <c r="D55" s="177"/>
      <c r="E55" s="177"/>
    </row>
    <row r="56" spans="1:9" ht="14.5" x14ac:dyDescent="0.45">
      <c r="B56" s="163" t="s">
        <v>330</v>
      </c>
      <c r="C56" s="267" t="str">
        <f>IF(Quote!B8="","Single Pieces", Quote!B8 &amp; "-Up Array" &amp; IF(Quote!B9=1," (No X-Outs)",""))</f>
        <v>2-Up Array</v>
      </c>
      <c r="D56" s="177"/>
      <c r="E56" s="177"/>
      <c r="F56" s="518" t="s">
        <v>36</v>
      </c>
      <c r="G56" s="518"/>
      <c r="H56" s="518"/>
      <c r="I56" s="518"/>
    </row>
    <row r="57" spans="1:9" ht="12.75" customHeight="1" x14ac:dyDescent="0.4">
      <c r="B57" s="163"/>
      <c r="C57" s="267" t="str">
        <f>IF(Array_X&gt;0, Array_X  &amp; "'' x " &amp; Array_Y &amp; "''", IF(Board_X&gt;0,Board_X &amp; "'' x " &amp; Board_Y &amp; "''",""))</f>
        <v>7.1'' x 10.6''</v>
      </c>
      <c r="D57" s="177"/>
      <c r="E57" s="177"/>
      <c r="F57" s="520" t="str">
        <f>"Soldermask: " &amp; IF(ISBLANK(Quote!D46),INDEX(Sheet2!Z10:Z19,Quote!B46,) &amp; IF(Quote!B46=10,""," - " &amp; INDEX( Sheet2!Z26:Z29,Sheet2!Z25)),Quote!D46)&amp; CHAR(10) &amp; "Legend: " &amp; IF(ISBLANK(Quote!D47),INDEX(Sheet2!AA10:AA14,Quote!B47) &amp; IF(Quote!B47=1,""," - " &amp; INDEX(Sheet2!AA26:AA28,Sheet2!AA25)),Quote!D47) &amp; CHAR(10) &amp; IF(Quote!B48-1,IF(ISBLANK(Quote!D48),Quote!A48&amp; IF(SUM(Quote!B49,Quote!B50,Quote!B54, Quote!B55)=4,"",", "),Quote!D48 &amp; IF(SUM(Quote!B49,Quote!B50,Quote!B54, Quote!B55)=4,"",", ")),"")  &amp; IF(Quote!B49-1,IF(ISBLANK(Quote!D49),Quote!A49&amp; IF(SUM(Quote!B50,Quote!B54,Quote!B55)=3, "",", "),Quote!D49 &amp; IF(SUM(Quote!B50,Quote!B54,Quote!B55)=3, "",", ")),"")  &amp; IF(Quote!B50-1,IF(ISBLANK(Quote!D50),CHOOSE(Sheet2!AD9,"","Via Plug", "Via-Fill(Non-Conductive)", "Via-Fill(Non-Conductive)", "Via-Fill(Non-Conductive)", "Via-Fill(Non-Conductive)", "Via-Fill(Conductive)", "Via-Fill(Conductive)", "Via-Fill(Conductive)", "Via-Fill(Conductive)") &amp; IF(SUM(Quote!B54,Quote!B55)=2,"", ", "),Quote!D50 &amp; IF(SUM(Quote!B54,Quote!B55)=2,"", ", ")),"") &amp; IF(Quote!B54-1,IF(ISBLANK(Quote!D54),Quote!A54 &amp; IF(Quote!B55=1,"",", "), Quote!D54 &amp; IF(Quote!B55=1,"",", ")),"") &amp; IF(Quote!B55-1,IF(ISBLANK(Quote!D55),Quote!A55,Quote!D55),"")</f>
        <v xml:space="preserve">Soldermask: Green - assumed 
Legend: White - 1 Side
</v>
      </c>
      <c r="G57" s="520"/>
      <c r="H57" s="520"/>
      <c r="I57" s="520"/>
    </row>
    <row r="58" spans="1:9" x14ac:dyDescent="0.4">
      <c r="B58" s="163" t="str">
        <f>IF(Outer_Cu &lt;&gt; 0, "Copper Weight:","")</f>
        <v/>
      </c>
      <c r="C58" s="267" t="str">
        <f>IF(Outer_Cu &lt;&gt; 0, Outer_Cu &amp; "oz. Outer" &amp; IF(Inner_Cu &lt;&gt; 0, " / " &amp; Inner_Cu &amp; "oz. Inner",""),"")</f>
        <v/>
      </c>
      <c r="D58" s="177"/>
      <c r="E58" s="177"/>
      <c r="F58" s="520"/>
      <c r="G58" s="520"/>
      <c r="H58" s="520"/>
      <c r="I58" s="520"/>
    </row>
    <row r="59" spans="1:9" x14ac:dyDescent="0.4">
      <c r="B59" s="184"/>
      <c r="D59" s="177"/>
      <c r="E59" s="177"/>
      <c r="F59" s="520"/>
      <c r="G59" s="520"/>
      <c r="H59" s="520"/>
      <c r="I59" s="520"/>
    </row>
    <row r="60" spans="1:9" ht="14.5" x14ac:dyDescent="0.45">
      <c r="B60" s="518" t="s">
        <v>146</v>
      </c>
      <c r="C60" s="518"/>
      <c r="D60" s="177"/>
      <c r="F60" s="520"/>
      <c r="G60" s="520"/>
      <c r="H60" s="520"/>
      <c r="I60" s="520"/>
    </row>
    <row r="61" spans="1:9" ht="14.25" customHeight="1" x14ac:dyDescent="0.4">
      <c r="B61" s="517" t="str">
        <f>Quote!H12</f>
        <v xml:space="preserve">New Rev
Customer array </v>
      </c>
      <c r="C61" s="517"/>
      <c r="D61" s="517"/>
      <c r="F61" s="293"/>
      <c r="G61" s="293"/>
      <c r="H61" s="293"/>
      <c r="I61" s="293"/>
    </row>
    <row r="62" spans="1:9" ht="12.75" customHeight="1" x14ac:dyDescent="0.45">
      <c r="B62" s="517"/>
      <c r="C62" s="517"/>
      <c r="D62" s="517"/>
      <c r="F62" s="518" t="s">
        <v>40</v>
      </c>
      <c r="G62" s="518"/>
      <c r="H62" s="518"/>
      <c r="I62" s="518"/>
    </row>
    <row r="63" spans="1:9" x14ac:dyDescent="0.4">
      <c r="B63" s="517"/>
      <c r="C63" s="517"/>
      <c r="D63" s="517"/>
      <c r="F63" s="519" t="str">
        <f>Test_Type &amp; IF(COUNTIF(Quote!B59:B63,"&gt;1"),CHAR(10),) &amp; IF(Quote!B59&gt;1,INDEX(Sheet2!AK10:AK15,Quote!B59) &amp; IF(COUNTIF(Quote!B60:B63,"&gt;1"),", ",""),) &amp; IF(Quote!B60&gt;1,Quote!A60 &amp; IF(COUNTIF(Quote!B61:B63,"&gt;1"), ", ",),) &amp; IF(Quote!B61&gt;1,INDEX(Sheet2!AM10:AM13,Quote!B61) &amp; IF(COUNTIF(Quote!B62:B63,"&gt;1"),", ",),) &amp; IF(Quote!B62&gt;1,Quote!A62 &amp; IF(Quote!B63&gt;1,", ",),) &amp; IF(Quote!B63&gt;1,Quote!A63,)</f>
        <v>Electrical Test: Flying Probe
Full Mechanical</v>
      </c>
      <c r="G63" s="519"/>
      <c r="H63" s="519"/>
      <c r="I63" s="519"/>
    </row>
    <row r="64" spans="1:9" ht="12.75" customHeight="1" x14ac:dyDescent="0.4">
      <c r="B64" s="517"/>
      <c r="C64" s="517"/>
      <c r="D64" s="517"/>
      <c r="F64" s="519"/>
      <c r="G64" s="519"/>
      <c r="H64" s="519"/>
      <c r="I64" s="519"/>
    </row>
    <row r="65" spans="1:10" ht="13.5" customHeight="1" x14ac:dyDescent="0.4">
      <c r="B65" s="517"/>
      <c r="C65" s="517"/>
      <c r="D65" s="517"/>
      <c r="F65" s="519"/>
      <c r="G65" s="519"/>
      <c r="H65" s="519"/>
      <c r="I65" s="519"/>
    </row>
    <row r="66" spans="1:10" x14ac:dyDescent="0.4">
      <c r="B66" s="517"/>
      <c r="C66" s="517"/>
      <c r="D66" s="517"/>
      <c r="F66" s="292"/>
      <c r="G66" s="292"/>
      <c r="H66" s="292"/>
      <c r="I66" s="292"/>
    </row>
    <row r="67" spans="1:10" ht="14.5" thickBot="1" x14ac:dyDescent="0.45">
      <c r="A67" s="164"/>
      <c r="B67" s="164"/>
      <c r="C67" s="164"/>
      <c r="D67" s="164"/>
      <c r="E67" s="164"/>
      <c r="F67" s="178"/>
      <c r="G67" s="178"/>
      <c r="H67" s="178"/>
      <c r="I67" s="178"/>
      <c r="J67" s="275" t="str">
        <f>Quote!J2</f>
        <v>v4.01</v>
      </c>
    </row>
    <row r="68" spans="1:10" ht="15.75" customHeight="1" thickTop="1" x14ac:dyDescent="0.4">
      <c r="A68" s="514" t="s">
        <v>389</v>
      </c>
      <c r="B68" s="514"/>
      <c r="C68" s="514"/>
      <c r="D68" s="514"/>
      <c r="E68" s="514"/>
      <c r="F68" s="514"/>
      <c r="G68" s="514"/>
      <c r="H68" s="514"/>
      <c r="I68" s="514"/>
      <c r="J68" s="514"/>
    </row>
    <row r="69" spans="1:10" ht="15.75" customHeight="1" x14ac:dyDescent="0.4">
      <c r="A69" s="515"/>
      <c r="B69" s="515"/>
      <c r="C69" s="515"/>
      <c r="D69" s="515"/>
      <c r="E69" s="515"/>
      <c r="F69" s="515"/>
      <c r="G69" s="515"/>
      <c r="H69" s="515"/>
      <c r="I69" s="515"/>
      <c r="J69" s="515"/>
    </row>
    <row r="70" spans="1:10" ht="15.75" customHeight="1" x14ac:dyDescent="0.4">
      <c r="A70" s="515"/>
      <c r="B70" s="515"/>
      <c r="C70" s="515"/>
      <c r="D70" s="515"/>
      <c r="E70" s="515"/>
      <c r="F70" s="515"/>
      <c r="G70" s="515"/>
      <c r="H70" s="515"/>
      <c r="I70" s="515"/>
      <c r="J70" s="515"/>
    </row>
    <row r="71" spans="1:10" ht="409.5" hidden="1" x14ac:dyDescent="0.4">
      <c r="A71" s="184" t="s">
        <v>484</v>
      </c>
    </row>
    <row r="73" spans="1:10" hidden="1" x14ac:dyDescent="0.4">
      <c r="A73" s="284" t="s">
        <v>329</v>
      </c>
    </row>
  </sheetData>
  <sheetProtection selectLockedCells="1"/>
  <mergeCells count="57">
    <mergeCell ref="B6:D9"/>
    <mergeCell ref="F6:I6"/>
    <mergeCell ref="F7:G7"/>
    <mergeCell ref="H7:I7"/>
    <mergeCell ref="F8:G8"/>
    <mergeCell ref="H8:I8"/>
    <mergeCell ref="E9:G9"/>
    <mergeCell ref="F14:G14"/>
    <mergeCell ref="F15:G15"/>
    <mergeCell ref="F16:G16"/>
    <mergeCell ref="F17:G17"/>
    <mergeCell ref="H1:J1"/>
    <mergeCell ref="H2:J2"/>
    <mergeCell ref="H3:J3"/>
    <mergeCell ref="H4:J4"/>
    <mergeCell ref="F18:G18"/>
    <mergeCell ref="F19:G19"/>
    <mergeCell ref="F20:G20"/>
    <mergeCell ref="F21:G21"/>
    <mergeCell ref="F22:G22"/>
    <mergeCell ref="F23:G23"/>
    <mergeCell ref="F24:G24"/>
    <mergeCell ref="F25:G25"/>
    <mergeCell ref="F26:G26"/>
    <mergeCell ref="F27:G27"/>
    <mergeCell ref="F28:G28"/>
    <mergeCell ref="F29:G29"/>
    <mergeCell ref="F30:G30"/>
    <mergeCell ref="F31:G31"/>
    <mergeCell ref="F32:G32"/>
    <mergeCell ref="F33:G33"/>
    <mergeCell ref="F34:G34"/>
    <mergeCell ref="F35:G35"/>
    <mergeCell ref="F36:G36"/>
    <mergeCell ref="F37:G37"/>
    <mergeCell ref="F38:G38"/>
    <mergeCell ref="F39:G39"/>
    <mergeCell ref="F40:G40"/>
    <mergeCell ref="F41:G41"/>
    <mergeCell ref="F42:G42"/>
    <mergeCell ref="F43:G43"/>
    <mergeCell ref="F44:G44"/>
    <mergeCell ref="F45:G45"/>
    <mergeCell ref="F46:G46"/>
    <mergeCell ref="F47:G47"/>
    <mergeCell ref="A68:J70"/>
    <mergeCell ref="F48:G48"/>
    <mergeCell ref="B61:D66"/>
    <mergeCell ref="F56:I56"/>
    <mergeCell ref="F62:I62"/>
    <mergeCell ref="F52:I54"/>
    <mergeCell ref="F63:I65"/>
    <mergeCell ref="F57:I60"/>
    <mergeCell ref="F49:G49"/>
    <mergeCell ref="A51:C51"/>
    <mergeCell ref="F51:I51"/>
    <mergeCell ref="B60:C60"/>
  </mergeCells>
  <printOptions horizontalCentered="1"/>
  <pageMargins left="0.7" right="0.7" top="0.75" bottom="0.75" header="0.3" footer="0.3"/>
  <pageSetup scale="54" orientation="portrait" r:id="rId1"/>
  <headerFooter alignWithMargins="0"/>
  <ignoredErrors>
    <ignoredError sqref="C18" evalError="1"/>
  </ignoredErrors>
  <drawing r:id="rId2"/>
  <legacyDrawing r:id="rId3"/>
  <controls>
    <mc:AlternateContent xmlns:mc="http://schemas.openxmlformats.org/markup-compatibility/2006">
      <mc:Choice Requires="x14">
        <control shapeId="16388" r:id="rId4" name="CommandButton1">
          <controlPr defaultSize="0" print="0" autoLine="0" r:id="rId5">
            <anchor moveWithCells="1">
              <from>
                <xdr:col>0</xdr:col>
                <xdr:colOff>190500</xdr:colOff>
                <xdr:row>67</xdr:row>
                <xdr:rowOff>152400</xdr:rowOff>
              </from>
              <to>
                <xdr:col>2</xdr:col>
                <xdr:colOff>412750</xdr:colOff>
                <xdr:row>69</xdr:row>
                <xdr:rowOff>31750</xdr:rowOff>
              </to>
            </anchor>
          </controlPr>
        </control>
      </mc:Choice>
      <mc:Fallback>
        <control shapeId="16388" r:id="rId4" name="CommandButton1"/>
      </mc:Fallback>
    </mc:AlternateContent>
    <mc:AlternateContent xmlns:mc="http://schemas.openxmlformats.org/markup-compatibility/2006">
      <mc:Choice Requires="x14">
        <control shapeId="16389" r:id="rId6" name="CommandButton2">
          <controlPr defaultSize="0" print="0" autoLine="0" r:id="rId7">
            <anchor moveWithCells="1">
              <from>
                <xdr:col>8</xdr:col>
                <xdr:colOff>114300</xdr:colOff>
                <xdr:row>67</xdr:row>
                <xdr:rowOff>152400</xdr:rowOff>
              </from>
              <to>
                <xdr:col>9</xdr:col>
                <xdr:colOff>304800</xdr:colOff>
                <xdr:row>69</xdr:row>
                <xdr:rowOff>31750</xdr:rowOff>
              </to>
            </anchor>
          </controlPr>
        </control>
      </mc:Choice>
      <mc:Fallback>
        <control shapeId="16389" r:id="rId6" name="CommandButton2"/>
      </mc:Fallback>
    </mc:AlternateContent>
    <mc:AlternateContent xmlns:mc="http://schemas.openxmlformats.org/markup-compatibility/2006">
      <mc:Choice Requires="x14">
        <control shapeId="16390" r:id="rId8" name="CommandButton3">
          <controlPr defaultSize="0" print="0" autoLine="0" r:id="rId9">
            <anchor moveWithCells="1">
              <from>
                <xdr:col>3</xdr:col>
                <xdr:colOff>146050</xdr:colOff>
                <xdr:row>67</xdr:row>
                <xdr:rowOff>152400</xdr:rowOff>
              </from>
              <to>
                <xdr:col>5</xdr:col>
                <xdr:colOff>323850</xdr:colOff>
                <xdr:row>69</xdr:row>
                <xdr:rowOff>31750</xdr:rowOff>
              </to>
            </anchor>
          </controlPr>
        </control>
      </mc:Choice>
      <mc:Fallback>
        <control shapeId="16390" r:id="rId8" name="CommandButton3"/>
      </mc:Fallback>
    </mc:AlternateContent>
    <mc:AlternateContent xmlns:mc="http://schemas.openxmlformats.org/markup-compatibility/2006">
      <mc:Choice Requires="x14">
        <control shapeId="16392" r:id="rId10" name="CommandButton4">
          <controlPr defaultSize="0" print="0" autoLine="0" r:id="rId11">
            <anchor moveWithCells="1">
              <from>
                <xdr:col>8</xdr:col>
                <xdr:colOff>831850</xdr:colOff>
                <xdr:row>5</xdr:row>
                <xdr:rowOff>209550</xdr:rowOff>
              </from>
              <to>
                <xdr:col>9</xdr:col>
                <xdr:colOff>336550</xdr:colOff>
                <xdr:row>7</xdr:row>
                <xdr:rowOff>31750</xdr:rowOff>
              </to>
            </anchor>
          </controlPr>
        </control>
      </mc:Choice>
      <mc:Fallback>
        <control shapeId="16392" r:id="rId10" name="CommandButton4"/>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D6C3BA-5CE2-4D37-9078-09F7D27306E9}">
  <sheetPr codeName="Sheet12">
    <tabColor rgb="FFFFFFCC"/>
    <pageSetUpPr fitToPage="1"/>
  </sheetPr>
  <dimension ref="A1:WVP73"/>
  <sheetViews>
    <sheetView showGridLines="0" showZeros="0" topLeftCell="A3" zoomScale="120" zoomScaleNormal="120" workbookViewId="0">
      <selection activeCell="B61" sqref="B61:D66"/>
    </sheetView>
  </sheetViews>
  <sheetFormatPr defaultColWidth="0" defaultRowHeight="12.75" customHeight="1" zeroHeight="1" x14ac:dyDescent="0.4"/>
  <cols>
    <col min="1" max="2" width="9.1796875" style="162" customWidth="1"/>
    <col min="3" max="3" width="13.1796875" style="162" customWidth="1"/>
    <col min="4" max="4" width="11.26953125" style="162" bestFit="1" customWidth="1"/>
    <col min="5" max="5" width="7.7265625" style="162" customWidth="1"/>
    <col min="6" max="7" width="6" style="162" customWidth="1"/>
    <col min="8" max="8" width="9.453125" style="162" hidden="1" customWidth="1"/>
    <col min="9" max="9" width="18.81640625" style="162" customWidth="1"/>
    <col min="10" max="10" width="15" style="162" bestFit="1" customWidth="1"/>
    <col min="11" max="258" width="9.1796875" style="162" hidden="1"/>
    <col min="259" max="259" width="13.1796875" style="162" hidden="1"/>
    <col min="260" max="260" width="9.1796875" style="162" hidden="1"/>
    <col min="261" max="261" width="7.7265625" style="162" hidden="1"/>
    <col min="262" max="263" width="6" style="162" hidden="1"/>
    <col min="264" max="264" width="8.1796875" style="162" hidden="1"/>
    <col min="265" max="514" width="9.1796875" style="162" hidden="1"/>
    <col min="515" max="515" width="13.1796875" style="162" hidden="1"/>
    <col min="516" max="516" width="9.1796875" style="162" hidden="1"/>
    <col min="517" max="517" width="7.7265625" style="162" hidden="1"/>
    <col min="518" max="519" width="6" style="162" hidden="1"/>
    <col min="520" max="520" width="8.1796875" style="162" hidden="1"/>
    <col min="521" max="770" width="9.1796875" style="162" hidden="1"/>
    <col min="771" max="771" width="13.1796875" style="162" hidden="1"/>
    <col min="772" max="772" width="9.1796875" style="162" hidden="1"/>
    <col min="773" max="773" width="7.7265625" style="162" hidden="1"/>
    <col min="774" max="775" width="6" style="162" hidden="1"/>
    <col min="776" max="776" width="8.1796875" style="162" hidden="1"/>
    <col min="777" max="1026" width="9.1796875" style="162" hidden="1"/>
    <col min="1027" max="1027" width="13.1796875" style="162" hidden="1"/>
    <col min="1028" max="1028" width="9.1796875" style="162" hidden="1"/>
    <col min="1029" max="1029" width="7.7265625" style="162" hidden="1"/>
    <col min="1030" max="1031" width="6" style="162" hidden="1"/>
    <col min="1032" max="1032" width="8.1796875" style="162" hidden="1"/>
    <col min="1033" max="1282" width="9.1796875" style="162" hidden="1"/>
    <col min="1283" max="1283" width="13.1796875" style="162" hidden="1"/>
    <col min="1284" max="1284" width="9.1796875" style="162" hidden="1"/>
    <col min="1285" max="1285" width="7.7265625" style="162" hidden="1"/>
    <col min="1286" max="1287" width="6" style="162" hidden="1"/>
    <col min="1288" max="1288" width="8.1796875" style="162" hidden="1"/>
    <col min="1289" max="1538" width="9.1796875" style="162" hidden="1"/>
    <col min="1539" max="1539" width="13.1796875" style="162" hidden="1"/>
    <col min="1540" max="1540" width="9.1796875" style="162" hidden="1"/>
    <col min="1541" max="1541" width="7.7265625" style="162" hidden="1"/>
    <col min="1542" max="1543" width="6" style="162" hidden="1"/>
    <col min="1544" max="1544" width="8.1796875" style="162" hidden="1"/>
    <col min="1545" max="1794" width="9.1796875" style="162" hidden="1"/>
    <col min="1795" max="1795" width="13.1796875" style="162" hidden="1"/>
    <col min="1796" max="1796" width="9.1796875" style="162" hidden="1"/>
    <col min="1797" max="1797" width="7.7265625" style="162" hidden="1"/>
    <col min="1798" max="1799" width="6" style="162" hidden="1"/>
    <col min="1800" max="1800" width="8.1796875" style="162" hidden="1"/>
    <col min="1801" max="2050" width="9.1796875" style="162" hidden="1"/>
    <col min="2051" max="2051" width="13.1796875" style="162" hidden="1"/>
    <col min="2052" max="2052" width="9.1796875" style="162" hidden="1"/>
    <col min="2053" max="2053" width="7.7265625" style="162" hidden="1"/>
    <col min="2054" max="2055" width="6" style="162" hidden="1"/>
    <col min="2056" max="2056" width="8.1796875" style="162" hidden="1"/>
    <col min="2057" max="2306" width="9.1796875" style="162" hidden="1"/>
    <col min="2307" max="2307" width="13.1796875" style="162" hidden="1"/>
    <col min="2308" max="2308" width="9.1796875" style="162" hidden="1"/>
    <col min="2309" max="2309" width="7.7265625" style="162" hidden="1"/>
    <col min="2310" max="2311" width="6" style="162" hidden="1"/>
    <col min="2312" max="2312" width="8.1796875" style="162" hidden="1"/>
    <col min="2313" max="2562" width="9.1796875" style="162" hidden="1"/>
    <col min="2563" max="2563" width="13.1796875" style="162" hidden="1"/>
    <col min="2564" max="2564" width="9.1796875" style="162" hidden="1"/>
    <col min="2565" max="2565" width="7.7265625" style="162" hidden="1"/>
    <col min="2566" max="2567" width="6" style="162" hidden="1"/>
    <col min="2568" max="2568" width="8.1796875" style="162" hidden="1"/>
    <col min="2569" max="2818" width="9.1796875" style="162" hidden="1"/>
    <col min="2819" max="2819" width="13.1796875" style="162" hidden="1"/>
    <col min="2820" max="2820" width="9.1796875" style="162" hidden="1"/>
    <col min="2821" max="2821" width="7.7265625" style="162" hidden="1"/>
    <col min="2822" max="2823" width="6" style="162" hidden="1"/>
    <col min="2824" max="2824" width="8.1796875" style="162" hidden="1"/>
    <col min="2825" max="3074" width="9.1796875" style="162" hidden="1"/>
    <col min="3075" max="3075" width="13.1796875" style="162" hidden="1"/>
    <col min="3076" max="3076" width="9.1796875" style="162" hidden="1"/>
    <col min="3077" max="3077" width="7.7265625" style="162" hidden="1"/>
    <col min="3078" max="3079" width="6" style="162" hidden="1"/>
    <col min="3080" max="3080" width="8.1796875" style="162" hidden="1"/>
    <col min="3081" max="3330" width="9.1796875" style="162" hidden="1"/>
    <col min="3331" max="3331" width="13.1796875" style="162" hidden="1"/>
    <col min="3332" max="3332" width="9.1796875" style="162" hidden="1"/>
    <col min="3333" max="3333" width="7.7265625" style="162" hidden="1"/>
    <col min="3334" max="3335" width="6" style="162" hidden="1"/>
    <col min="3336" max="3336" width="8.1796875" style="162" hidden="1"/>
    <col min="3337" max="3586" width="9.1796875" style="162" hidden="1"/>
    <col min="3587" max="3587" width="13.1796875" style="162" hidden="1"/>
    <col min="3588" max="3588" width="9.1796875" style="162" hidden="1"/>
    <col min="3589" max="3589" width="7.7265625" style="162" hidden="1"/>
    <col min="3590" max="3591" width="6" style="162" hidden="1"/>
    <col min="3592" max="3592" width="8.1796875" style="162" hidden="1"/>
    <col min="3593" max="3842" width="9.1796875" style="162" hidden="1"/>
    <col min="3843" max="3843" width="13.1796875" style="162" hidden="1"/>
    <col min="3844" max="3844" width="9.1796875" style="162" hidden="1"/>
    <col min="3845" max="3845" width="7.7265625" style="162" hidden="1"/>
    <col min="3846" max="3847" width="6" style="162" hidden="1"/>
    <col min="3848" max="3848" width="8.1796875" style="162" hidden="1"/>
    <col min="3849" max="4098" width="9.1796875" style="162" hidden="1"/>
    <col min="4099" max="4099" width="13.1796875" style="162" hidden="1"/>
    <col min="4100" max="4100" width="9.1796875" style="162" hidden="1"/>
    <col min="4101" max="4101" width="7.7265625" style="162" hidden="1"/>
    <col min="4102" max="4103" width="6" style="162" hidden="1"/>
    <col min="4104" max="4104" width="8.1796875" style="162" hidden="1"/>
    <col min="4105" max="4354" width="9.1796875" style="162" hidden="1"/>
    <col min="4355" max="4355" width="13.1796875" style="162" hidden="1"/>
    <col min="4356" max="4356" width="9.1796875" style="162" hidden="1"/>
    <col min="4357" max="4357" width="7.7265625" style="162" hidden="1"/>
    <col min="4358" max="4359" width="6" style="162" hidden="1"/>
    <col min="4360" max="4360" width="8.1796875" style="162" hidden="1"/>
    <col min="4361" max="4610" width="9.1796875" style="162" hidden="1"/>
    <col min="4611" max="4611" width="13.1796875" style="162" hidden="1"/>
    <col min="4612" max="4612" width="9.1796875" style="162" hidden="1"/>
    <col min="4613" max="4613" width="7.7265625" style="162" hidden="1"/>
    <col min="4614" max="4615" width="6" style="162" hidden="1"/>
    <col min="4616" max="4616" width="8.1796875" style="162" hidden="1"/>
    <col min="4617" max="4866" width="9.1796875" style="162" hidden="1"/>
    <col min="4867" max="4867" width="13.1796875" style="162" hidden="1"/>
    <col min="4868" max="4868" width="9.1796875" style="162" hidden="1"/>
    <col min="4869" max="4869" width="7.7265625" style="162" hidden="1"/>
    <col min="4870" max="4871" width="6" style="162" hidden="1"/>
    <col min="4872" max="4872" width="8.1796875" style="162" hidden="1"/>
    <col min="4873" max="5122" width="9.1796875" style="162" hidden="1"/>
    <col min="5123" max="5123" width="13.1796875" style="162" hidden="1"/>
    <col min="5124" max="5124" width="9.1796875" style="162" hidden="1"/>
    <col min="5125" max="5125" width="7.7265625" style="162" hidden="1"/>
    <col min="5126" max="5127" width="6" style="162" hidden="1"/>
    <col min="5128" max="5128" width="8.1796875" style="162" hidden="1"/>
    <col min="5129" max="5378" width="9.1796875" style="162" hidden="1"/>
    <col min="5379" max="5379" width="13.1796875" style="162" hidden="1"/>
    <col min="5380" max="5380" width="9.1796875" style="162" hidden="1"/>
    <col min="5381" max="5381" width="7.7265625" style="162" hidden="1"/>
    <col min="5382" max="5383" width="6" style="162" hidden="1"/>
    <col min="5384" max="5384" width="8.1796875" style="162" hidden="1"/>
    <col min="5385" max="5634" width="9.1796875" style="162" hidden="1"/>
    <col min="5635" max="5635" width="13.1796875" style="162" hidden="1"/>
    <col min="5636" max="5636" width="9.1796875" style="162" hidden="1"/>
    <col min="5637" max="5637" width="7.7265625" style="162" hidden="1"/>
    <col min="5638" max="5639" width="6" style="162" hidden="1"/>
    <col min="5640" max="5640" width="8.1796875" style="162" hidden="1"/>
    <col min="5641" max="5890" width="9.1796875" style="162" hidden="1"/>
    <col min="5891" max="5891" width="13.1796875" style="162" hidden="1"/>
    <col min="5892" max="5892" width="9.1796875" style="162" hidden="1"/>
    <col min="5893" max="5893" width="7.7265625" style="162" hidden="1"/>
    <col min="5894" max="5895" width="6" style="162" hidden="1"/>
    <col min="5896" max="5896" width="8.1796875" style="162" hidden="1"/>
    <col min="5897" max="6146" width="9.1796875" style="162" hidden="1"/>
    <col min="6147" max="6147" width="13.1796875" style="162" hidden="1"/>
    <col min="6148" max="6148" width="9.1796875" style="162" hidden="1"/>
    <col min="6149" max="6149" width="7.7265625" style="162" hidden="1"/>
    <col min="6150" max="6151" width="6" style="162" hidden="1"/>
    <col min="6152" max="6152" width="8.1796875" style="162" hidden="1"/>
    <col min="6153" max="6402" width="9.1796875" style="162" hidden="1"/>
    <col min="6403" max="6403" width="13.1796875" style="162" hidden="1"/>
    <col min="6404" max="6404" width="9.1796875" style="162" hidden="1"/>
    <col min="6405" max="6405" width="7.7265625" style="162" hidden="1"/>
    <col min="6406" max="6407" width="6" style="162" hidden="1"/>
    <col min="6408" max="6408" width="8.1796875" style="162" hidden="1"/>
    <col min="6409" max="6658" width="9.1796875" style="162" hidden="1"/>
    <col min="6659" max="6659" width="13.1796875" style="162" hidden="1"/>
    <col min="6660" max="6660" width="9.1796875" style="162" hidden="1"/>
    <col min="6661" max="6661" width="7.7265625" style="162" hidden="1"/>
    <col min="6662" max="6663" width="6" style="162" hidden="1"/>
    <col min="6664" max="6664" width="8.1796875" style="162" hidden="1"/>
    <col min="6665" max="6914" width="9.1796875" style="162" hidden="1"/>
    <col min="6915" max="6915" width="13.1796875" style="162" hidden="1"/>
    <col min="6916" max="6916" width="9.1796875" style="162" hidden="1"/>
    <col min="6917" max="6917" width="7.7265625" style="162" hidden="1"/>
    <col min="6918" max="6919" width="6" style="162" hidden="1"/>
    <col min="6920" max="6920" width="8.1796875" style="162" hidden="1"/>
    <col min="6921" max="7170" width="9.1796875" style="162" hidden="1"/>
    <col min="7171" max="7171" width="13.1796875" style="162" hidden="1"/>
    <col min="7172" max="7172" width="9.1796875" style="162" hidden="1"/>
    <col min="7173" max="7173" width="7.7265625" style="162" hidden="1"/>
    <col min="7174" max="7175" width="6" style="162" hidden="1"/>
    <col min="7176" max="7176" width="8.1796875" style="162" hidden="1"/>
    <col min="7177" max="7426" width="9.1796875" style="162" hidden="1"/>
    <col min="7427" max="7427" width="13.1796875" style="162" hidden="1"/>
    <col min="7428" max="7428" width="9.1796875" style="162" hidden="1"/>
    <col min="7429" max="7429" width="7.7265625" style="162" hidden="1"/>
    <col min="7430" max="7431" width="6" style="162" hidden="1"/>
    <col min="7432" max="7432" width="8.1796875" style="162" hidden="1"/>
    <col min="7433" max="7682" width="9.1796875" style="162" hidden="1"/>
    <col min="7683" max="7683" width="13.1796875" style="162" hidden="1"/>
    <col min="7684" max="7684" width="9.1796875" style="162" hidden="1"/>
    <col min="7685" max="7685" width="7.7265625" style="162" hidden="1"/>
    <col min="7686" max="7687" width="6" style="162" hidden="1"/>
    <col min="7688" max="7688" width="8.1796875" style="162" hidden="1"/>
    <col min="7689" max="7938" width="9.1796875" style="162" hidden="1"/>
    <col min="7939" max="7939" width="13.1796875" style="162" hidden="1"/>
    <col min="7940" max="7940" width="9.1796875" style="162" hidden="1"/>
    <col min="7941" max="7941" width="7.7265625" style="162" hidden="1"/>
    <col min="7942" max="7943" width="6" style="162" hidden="1"/>
    <col min="7944" max="7944" width="8.1796875" style="162" hidden="1"/>
    <col min="7945" max="8194" width="9.1796875" style="162" hidden="1"/>
    <col min="8195" max="8195" width="13.1796875" style="162" hidden="1"/>
    <col min="8196" max="8196" width="9.1796875" style="162" hidden="1"/>
    <col min="8197" max="8197" width="7.7265625" style="162" hidden="1"/>
    <col min="8198" max="8199" width="6" style="162" hidden="1"/>
    <col min="8200" max="8200" width="8.1796875" style="162" hidden="1"/>
    <col min="8201" max="8450" width="9.1796875" style="162" hidden="1"/>
    <col min="8451" max="8451" width="13.1796875" style="162" hidden="1"/>
    <col min="8452" max="8452" width="9.1796875" style="162" hidden="1"/>
    <col min="8453" max="8453" width="7.7265625" style="162" hidden="1"/>
    <col min="8454" max="8455" width="6" style="162" hidden="1"/>
    <col min="8456" max="8456" width="8.1796875" style="162" hidden="1"/>
    <col min="8457" max="8706" width="9.1796875" style="162" hidden="1"/>
    <col min="8707" max="8707" width="13.1796875" style="162" hidden="1"/>
    <col min="8708" max="8708" width="9.1796875" style="162" hidden="1"/>
    <col min="8709" max="8709" width="7.7265625" style="162" hidden="1"/>
    <col min="8710" max="8711" width="6" style="162" hidden="1"/>
    <col min="8712" max="8712" width="8.1796875" style="162" hidden="1"/>
    <col min="8713" max="8962" width="9.1796875" style="162" hidden="1"/>
    <col min="8963" max="8963" width="13.1796875" style="162" hidden="1"/>
    <col min="8964" max="8964" width="9.1796875" style="162" hidden="1"/>
    <col min="8965" max="8965" width="7.7265625" style="162" hidden="1"/>
    <col min="8966" max="8967" width="6" style="162" hidden="1"/>
    <col min="8968" max="8968" width="8.1796875" style="162" hidden="1"/>
    <col min="8969" max="9218" width="9.1796875" style="162" hidden="1"/>
    <col min="9219" max="9219" width="13.1796875" style="162" hidden="1"/>
    <col min="9220" max="9220" width="9.1796875" style="162" hidden="1"/>
    <col min="9221" max="9221" width="7.7265625" style="162" hidden="1"/>
    <col min="9222" max="9223" width="6" style="162" hidden="1"/>
    <col min="9224" max="9224" width="8.1796875" style="162" hidden="1"/>
    <col min="9225" max="9474" width="9.1796875" style="162" hidden="1"/>
    <col min="9475" max="9475" width="13.1796875" style="162" hidden="1"/>
    <col min="9476" max="9476" width="9.1796875" style="162" hidden="1"/>
    <col min="9477" max="9477" width="7.7265625" style="162" hidden="1"/>
    <col min="9478" max="9479" width="6" style="162" hidden="1"/>
    <col min="9480" max="9480" width="8.1796875" style="162" hidden="1"/>
    <col min="9481" max="9730" width="9.1796875" style="162" hidden="1"/>
    <col min="9731" max="9731" width="13.1796875" style="162" hidden="1"/>
    <col min="9732" max="9732" width="9.1796875" style="162" hidden="1"/>
    <col min="9733" max="9733" width="7.7265625" style="162" hidden="1"/>
    <col min="9734" max="9735" width="6" style="162" hidden="1"/>
    <col min="9736" max="9736" width="8.1796875" style="162" hidden="1"/>
    <col min="9737" max="9986" width="9.1796875" style="162" hidden="1"/>
    <col min="9987" max="9987" width="13.1796875" style="162" hidden="1"/>
    <col min="9988" max="9988" width="9.1796875" style="162" hidden="1"/>
    <col min="9989" max="9989" width="7.7265625" style="162" hidden="1"/>
    <col min="9990" max="9991" width="6" style="162" hidden="1"/>
    <col min="9992" max="9992" width="8.1796875" style="162" hidden="1"/>
    <col min="9993" max="10242" width="9.1796875" style="162" hidden="1"/>
    <col min="10243" max="10243" width="13.1796875" style="162" hidden="1"/>
    <col min="10244" max="10244" width="9.1796875" style="162" hidden="1"/>
    <col min="10245" max="10245" width="7.7265625" style="162" hidden="1"/>
    <col min="10246" max="10247" width="6" style="162" hidden="1"/>
    <col min="10248" max="10248" width="8.1796875" style="162" hidden="1"/>
    <col min="10249" max="10498" width="9.1796875" style="162" hidden="1"/>
    <col min="10499" max="10499" width="13.1796875" style="162" hidden="1"/>
    <col min="10500" max="10500" width="9.1796875" style="162" hidden="1"/>
    <col min="10501" max="10501" width="7.7265625" style="162" hidden="1"/>
    <col min="10502" max="10503" width="6" style="162" hidden="1"/>
    <col min="10504" max="10504" width="8.1796875" style="162" hidden="1"/>
    <col min="10505" max="10754" width="9.1796875" style="162" hidden="1"/>
    <col min="10755" max="10755" width="13.1796875" style="162" hidden="1"/>
    <col min="10756" max="10756" width="9.1796875" style="162" hidden="1"/>
    <col min="10757" max="10757" width="7.7265625" style="162" hidden="1"/>
    <col min="10758" max="10759" width="6" style="162" hidden="1"/>
    <col min="10760" max="10760" width="8.1796875" style="162" hidden="1"/>
    <col min="10761" max="11010" width="9.1796875" style="162" hidden="1"/>
    <col min="11011" max="11011" width="13.1796875" style="162" hidden="1"/>
    <col min="11012" max="11012" width="9.1796875" style="162" hidden="1"/>
    <col min="11013" max="11013" width="7.7265625" style="162" hidden="1"/>
    <col min="11014" max="11015" width="6" style="162" hidden="1"/>
    <col min="11016" max="11016" width="8.1796875" style="162" hidden="1"/>
    <col min="11017" max="11266" width="9.1796875" style="162" hidden="1"/>
    <col min="11267" max="11267" width="13.1796875" style="162" hidden="1"/>
    <col min="11268" max="11268" width="9.1796875" style="162" hidden="1"/>
    <col min="11269" max="11269" width="7.7265625" style="162" hidden="1"/>
    <col min="11270" max="11271" width="6" style="162" hidden="1"/>
    <col min="11272" max="11272" width="8.1796875" style="162" hidden="1"/>
    <col min="11273" max="11522" width="9.1796875" style="162" hidden="1"/>
    <col min="11523" max="11523" width="13.1796875" style="162" hidden="1"/>
    <col min="11524" max="11524" width="9.1796875" style="162" hidden="1"/>
    <col min="11525" max="11525" width="7.7265625" style="162" hidden="1"/>
    <col min="11526" max="11527" width="6" style="162" hidden="1"/>
    <col min="11528" max="11528" width="8.1796875" style="162" hidden="1"/>
    <col min="11529" max="11778" width="9.1796875" style="162" hidden="1"/>
    <col min="11779" max="11779" width="13.1796875" style="162" hidden="1"/>
    <col min="11780" max="11780" width="9.1796875" style="162" hidden="1"/>
    <col min="11781" max="11781" width="7.7265625" style="162" hidden="1"/>
    <col min="11782" max="11783" width="6" style="162" hidden="1"/>
    <col min="11784" max="11784" width="8.1796875" style="162" hidden="1"/>
    <col min="11785" max="12034" width="9.1796875" style="162" hidden="1"/>
    <col min="12035" max="12035" width="13.1796875" style="162" hidden="1"/>
    <col min="12036" max="12036" width="9.1796875" style="162" hidden="1"/>
    <col min="12037" max="12037" width="7.7265625" style="162" hidden="1"/>
    <col min="12038" max="12039" width="6" style="162" hidden="1"/>
    <col min="12040" max="12040" width="8.1796875" style="162" hidden="1"/>
    <col min="12041" max="12290" width="9.1796875" style="162" hidden="1"/>
    <col min="12291" max="12291" width="13.1796875" style="162" hidden="1"/>
    <col min="12292" max="12292" width="9.1796875" style="162" hidden="1"/>
    <col min="12293" max="12293" width="7.7265625" style="162" hidden="1"/>
    <col min="12294" max="12295" width="6" style="162" hidden="1"/>
    <col min="12296" max="12296" width="8.1796875" style="162" hidden="1"/>
    <col min="12297" max="12546" width="9.1796875" style="162" hidden="1"/>
    <col min="12547" max="12547" width="13.1796875" style="162" hidden="1"/>
    <col min="12548" max="12548" width="9.1796875" style="162" hidden="1"/>
    <col min="12549" max="12549" width="7.7265625" style="162" hidden="1"/>
    <col min="12550" max="12551" width="6" style="162" hidden="1"/>
    <col min="12552" max="12552" width="8.1796875" style="162" hidden="1"/>
    <col min="12553" max="12802" width="9.1796875" style="162" hidden="1"/>
    <col min="12803" max="12803" width="13.1796875" style="162" hidden="1"/>
    <col min="12804" max="12804" width="9.1796875" style="162" hidden="1"/>
    <col min="12805" max="12805" width="7.7265625" style="162" hidden="1"/>
    <col min="12806" max="12807" width="6" style="162" hidden="1"/>
    <col min="12808" max="12808" width="8.1796875" style="162" hidden="1"/>
    <col min="12809" max="13058" width="9.1796875" style="162" hidden="1"/>
    <col min="13059" max="13059" width="13.1796875" style="162" hidden="1"/>
    <col min="13060" max="13060" width="9.1796875" style="162" hidden="1"/>
    <col min="13061" max="13061" width="7.7265625" style="162" hidden="1"/>
    <col min="13062" max="13063" width="6" style="162" hidden="1"/>
    <col min="13064" max="13064" width="8.1796875" style="162" hidden="1"/>
    <col min="13065" max="13314" width="9.1796875" style="162" hidden="1"/>
    <col min="13315" max="13315" width="13.1796875" style="162" hidden="1"/>
    <col min="13316" max="13316" width="9.1796875" style="162" hidden="1"/>
    <col min="13317" max="13317" width="7.7265625" style="162" hidden="1"/>
    <col min="13318" max="13319" width="6" style="162" hidden="1"/>
    <col min="13320" max="13320" width="8.1796875" style="162" hidden="1"/>
    <col min="13321" max="13570" width="9.1796875" style="162" hidden="1"/>
    <col min="13571" max="13571" width="13.1796875" style="162" hidden="1"/>
    <col min="13572" max="13572" width="9.1796875" style="162" hidden="1"/>
    <col min="13573" max="13573" width="7.7265625" style="162" hidden="1"/>
    <col min="13574" max="13575" width="6" style="162" hidden="1"/>
    <col min="13576" max="13576" width="8.1796875" style="162" hidden="1"/>
    <col min="13577" max="13826" width="9.1796875" style="162" hidden="1"/>
    <col min="13827" max="13827" width="13.1796875" style="162" hidden="1"/>
    <col min="13828" max="13828" width="9.1796875" style="162" hidden="1"/>
    <col min="13829" max="13829" width="7.7265625" style="162" hidden="1"/>
    <col min="13830" max="13831" width="6" style="162" hidden="1"/>
    <col min="13832" max="13832" width="8.1796875" style="162" hidden="1"/>
    <col min="13833" max="14082" width="9.1796875" style="162" hidden="1"/>
    <col min="14083" max="14083" width="13.1796875" style="162" hidden="1"/>
    <col min="14084" max="14084" width="9.1796875" style="162" hidden="1"/>
    <col min="14085" max="14085" width="7.7265625" style="162" hidden="1"/>
    <col min="14086" max="14087" width="6" style="162" hidden="1"/>
    <col min="14088" max="14088" width="8.1796875" style="162" hidden="1"/>
    <col min="14089" max="14338" width="9.1796875" style="162" hidden="1"/>
    <col min="14339" max="14339" width="13.1796875" style="162" hidden="1"/>
    <col min="14340" max="14340" width="9.1796875" style="162" hidden="1"/>
    <col min="14341" max="14341" width="7.7265625" style="162" hidden="1"/>
    <col min="14342" max="14343" width="6" style="162" hidden="1"/>
    <col min="14344" max="14344" width="8.1796875" style="162" hidden="1"/>
    <col min="14345" max="14594" width="9.1796875" style="162" hidden="1"/>
    <col min="14595" max="14595" width="13.1796875" style="162" hidden="1"/>
    <col min="14596" max="14596" width="9.1796875" style="162" hidden="1"/>
    <col min="14597" max="14597" width="7.7265625" style="162" hidden="1"/>
    <col min="14598" max="14599" width="6" style="162" hidden="1"/>
    <col min="14600" max="14600" width="8.1796875" style="162" hidden="1"/>
    <col min="14601" max="14850" width="9.1796875" style="162" hidden="1"/>
    <col min="14851" max="14851" width="13.1796875" style="162" hidden="1"/>
    <col min="14852" max="14852" width="9.1796875" style="162" hidden="1"/>
    <col min="14853" max="14853" width="7.7265625" style="162" hidden="1"/>
    <col min="14854" max="14855" width="6" style="162" hidden="1"/>
    <col min="14856" max="14856" width="8.1796875" style="162" hidden="1"/>
    <col min="14857" max="15106" width="9.1796875" style="162" hidden="1"/>
    <col min="15107" max="15107" width="13.1796875" style="162" hidden="1"/>
    <col min="15108" max="15108" width="9.1796875" style="162" hidden="1"/>
    <col min="15109" max="15109" width="7.7265625" style="162" hidden="1"/>
    <col min="15110" max="15111" width="6" style="162" hidden="1"/>
    <col min="15112" max="15112" width="8.1796875" style="162" hidden="1"/>
    <col min="15113" max="15362" width="9.1796875" style="162" hidden="1"/>
    <col min="15363" max="15363" width="13.1796875" style="162" hidden="1"/>
    <col min="15364" max="15364" width="9.1796875" style="162" hidden="1"/>
    <col min="15365" max="15365" width="7.7265625" style="162" hidden="1"/>
    <col min="15366" max="15367" width="6" style="162" hidden="1"/>
    <col min="15368" max="15368" width="8.1796875" style="162" hidden="1"/>
    <col min="15369" max="15618" width="9.1796875" style="162" hidden="1"/>
    <col min="15619" max="15619" width="13.1796875" style="162" hidden="1"/>
    <col min="15620" max="15620" width="9.1796875" style="162" hidden="1"/>
    <col min="15621" max="15621" width="7.7265625" style="162" hidden="1"/>
    <col min="15622" max="15623" width="6" style="162" hidden="1"/>
    <col min="15624" max="15624" width="8.1796875" style="162" hidden="1"/>
    <col min="15625" max="15874" width="9.1796875" style="162" hidden="1"/>
    <col min="15875" max="15875" width="13.1796875" style="162" hidden="1"/>
    <col min="15876" max="15876" width="9.1796875" style="162" hidden="1"/>
    <col min="15877" max="15877" width="7.7265625" style="162" hidden="1"/>
    <col min="15878" max="15879" width="6" style="162" hidden="1"/>
    <col min="15880" max="15880" width="8.1796875" style="162" hidden="1"/>
    <col min="15881" max="16130" width="9.1796875" style="162" hidden="1"/>
    <col min="16131" max="16131" width="13.1796875" style="162" hidden="1"/>
    <col min="16132" max="16132" width="9.1796875" style="162" hidden="1"/>
    <col min="16133" max="16133" width="7.7265625" style="162" hidden="1"/>
    <col min="16134" max="16135" width="6" style="162" hidden="1"/>
    <col min="16136" max="16136" width="8.1796875" style="162" hidden="1"/>
    <col min="16137" max="16384" width="9.1796875" style="162" hidden="1"/>
  </cols>
  <sheetData>
    <row r="1" spans="1:10" s="153" customFormat="1" ht="13.5" customHeight="1" x14ac:dyDescent="0.5">
      <c r="H1" s="522" t="s">
        <v>192</v>
      </c>
      <c r="I1" s="522"/>
      <c r="J1" s="522"/>
    </row>
    <row r="2" spans="1:10" s="153" customFormat="1" ht="13.5" customHeight="1" x14ac:dyDescent="0.5">
      <c r="H2" s="522" t="s">
        <v>193</v>
      </c>
      <c r="I2" s="522"/>
      <c r="J2" s="522"/>
    </row>
    <row r="3" spans="1:10" s="153" customFormat="1" ht="13.5" customHeight="1" x14ac:dyDescent="0.5">
      <c r="H3" s="522" t="s">
        <v>194</v>
      </c>
      <c r="I3" s="522"/>
      <c r="J3" s="522"/>
    </row>
    <row r="4" spans="1:10" s="153" customFormat="1" ht="13.5" customHeight="1" x14ac:dyDescent="0.5">
      <c r="H4" s="522" t="s">
        <v>195</v>
      </c>
      <c r="I4" s="522"/>
      <c r="J4" s="522"/>
    </row>
    <row r="5" spans="1:10" s="153" customFormat="1" ht="17" x14ac:dyDescent="0.5">
      <c r="H5" s="154"/>
      <c r="I5" s="154"/>
      <c r="J5" s="154"/>
    </row>
    <row r="6" spans="1:10" s="155" customFormat="1" ht="18" x14ac:dyDescent="0.5">
      <c r="B6" s="523" t="s">
        <v>471</v>
      </c>
      <c r="C6" s="524"/>
      <c r="D6" s="525"/>
      <c r="F6" s="526" t="s">
        <v>196</v>
      </c>
      <c r="G6" s="526"/>
      <c r="H6" s="526"/>
      <c r="I6" s="526"/>
      <c r="J6" s="156"/>
    </row>
    <row r="7" spans="1:10" s="155" customFormat="1" ht="15.5" x14ac:dyDescent="0.45">
      <c r="B7" s="523"/>
      <c r="C7" s="524"/>
      <c r="D7" s="525"/>
      <c r="F7" s="527" t="s">
        <v>197</v>
      </c>
      <c r="G7" s="527"/>
      <c r="H7" s="528">
        <v>306624</v>
      </c>
      <c r="I7" s="528"/>
      <c r="J7" s="156"/>
    </row>
    <row r="8" spans="1:10" s="155" customFormat="1" ht="15.5" x14ac:dyDescent="0.45">
      <c r="B8" s="523"/>
      <c r="C8" s="524"/>
      <c r="D8" s="525"/>
      <c r="F8" s="527" t="s">
        <v>198</v>
      </c>
      <c r="G8" s="527"/>
      <c r="H8" s="529">
        <v>45238.399317129632</v>
      </c>
      <c r="I8" s="529"/>
    </row>
    <row r="9" spans="1:10" s="155" customFormat="1" ht="15.75" customHeight="1" x14ac:dyDescent="0.45">
      <c r="B9" s="523"/>
      <c r="C9" s="524"/>
      <c r="D9" s="525"/>
      <c r="E9" s="530" t="s">
        <v>230</v>
      </c>
      <c r="F9" s="527"/>
      <c r="G9" s="527"/>
      <c r="H9" s="168"/>
      <c r="I9" s="266" t="s">
        <v>485</v>
      </c>
    </row>
    <row r="10" spans="1:10" s="155" customFormat="1" ht="16" thickBot="1" x14ac:dyDescent="0.5">
      <c r="A10" s="157"/>
      <c r="B10" s="158"/>
      <c r="C10" s="158"/>
      <c r="D10" s="158"/>
      <c r="E10" s="157"/>
      <c r="F10" s="157"/>
      <c r="G10" s="157"/>
      <c r="H10" s="157"/>
      <c r="I10" s="157"/>
      <c r="J10" s="157"/>
    </row>
    <row r="11" spans="1:10" s="155" customFormat="1" ht="16" thickTop="1" x14ac:dyDescent="0.45">
      <c r="J11" s="274"/>
    </row>
    <row r="12" spans="1:10" s="155" customFormat="1" ht="15.5" x14ac:dyDescent="0.45">
      <c r="B12" s="159" t="s">
        <v>199</v>
      </c>
      <c r="C12" s="294" t="s">
        <v>486</v>
      </c>
      <c r="D12" s="294"/>
      <c r="E12" s="294"/>
    </row>
    <row r="13" spans="1:10" s="155" customFormat="1" ht="15.5" x14ac:dyDescent="0.45"/>
    <row r="14" spans="1:10" s="160" customFormat="1" ht="15.5" hidden="1" x14ac:dyDescent="0.35">
      <c r="B14" s="268" t="s">
        <v>153</v>
      </c>
      <c r="C14" s="268" t="s">
        <v>128</v>
      </c>
      <c r="D14" s="268" t="s">
        <v>328</v>
      </c>
      <c r="E14" s="268" t="s">
        <v>325</v>
      </c>
      <c r="F14" s="521" t="s">
        <v>325</v>
      </c>
      <c r="G14" s="521"/>
      <c r="H14" s="269"/>
      <c r="I14" s="268" t="s">
        <v>327</v>
      </c>
    </row>
    <row r="15" spans="1:10" s="160" customFormat="1" ht="15.5" hidden="1" x14ac:dyDescent="0.35">
      <c r="B15" s="286">
        <v>30</v>
      </c>
      <c r="C15" s="287" t="s">
        <v>325</v>
      </c>
      <c r="D15" s="289">
        <v>1706.4</v>
      </c>
      <c r="E15" s="270">
        <v>0</v>
      </c>
      <c r="F15" s="516">
        <v>0</v>
      </c>
      <c r="G15" s="516"/>
      <c r="H15" s="271"/>
      <c r="I15" s="270"/>
    </row>
    <row r="16" spans="1:10" s="160" customFormat="1" ht="15.5" hidden="1" x14ac:dyDescent="0.35">
      <c r="B16" s="286">
        <v>60</v>
      </c>
      <c r="C16" s="287" t="s">
        <v>325</v>
      </c>
      <c r="D16" s="289">
        <v>2445.6</v>
      </c>
      <c r="E16" s="270">
        <v>0</v>
      </c>
      <c r="F16" s="516">
        <v>0</v>
      </c>
      <c r="G16" s="516"/>
      <c r="H16" s="271"/>
      <c r="I16" s="270"/>
    </row>
    <row r="17" spans="2:9" s="160" customFormat="1" ht="15.5" hidden="1" x14ac:dyDescent="0.35">
      <c r="B17" s="286">
        <v>0</v>
      </c>
      <c r="C17" s="287" t="s">
        <v>325</v>
      </c>
      <c r="D17" s="289" t="e">
        <v>#DIV/0!</v>
      </c>
      <c r="E17" s="270">
        <v>0</v>
      </c>
      <c r="F17" s="516">
        <v>0</v>
      </c>
      <c r="G17" s="516"/>
      <c r="H17" s="271"/>
      <c r="I17" s="270"/>
    </row>
    <row r="18" spans="2:9" s="160" customFormat="1" ht="15.5" hidden="1" x14ac:dyDescent="0.35">
      <c r="B18" s="286">
        <v>0</v>
      </c>
      <c r="C18" s="288" t="s">
        <v>325</v>
      </c>
      <c r="D18" s="289" t="e">
        <v>#DIV/0!</v>
      </c>
      <c r="E18" s="270">
        <v>0</v>
      </c>
      <c r="F18" s="516">
        <v>0</v>
      </c>
      <c r="G18" s="516"/>
      <c r="H18" s="271"/>
      <c r="I18" s="270"/>
    </row>
    <row r="19" spans="2:9" s="160" customFormat="1" ht="15.5" hidden="1" x14ac:dyDescent="0.35">
      <c r="B19" s="286">
        <v>0</v>
      </c>
      <c r="C19" s="287" t="s">
        <v>325</v>
      </c>
      <c r="D19" s="289" t="e">
        <v>#DIV/0!</v>
      </c>
      <c r="E19" s="270">
        <v>0</v>
      </c>
      <c r="F19" s="516">
        <v>0</v>
      </c>
      <c r="G19" s="516"/>
      <c r="H19" s="271"/>
      <c r="I19" s="270"/>
    </row>
    <row r="20" spans="2:9" s="160" customFormat="1" ht="15.5" hidden="1" x14ac:dyDescent="0.35">
      <c r="B20" s="286">
        <v>0</v>
      </c>
      <c r="C20" s="287" t="s">
        <v>325</v>
      </c>
      <c r="D20" s="289" t="e">
        <v>#DIV/0!</v>
      </c>
      <c r="E20" s="270">
        <v>0</v>
      </c>
      <c r="F20" s="516">
        <v>0</v>
      </c>
      <c r="G20" s="516"/>
      <c r="H20" s="271"/>
      <c r="I20" s="270"/>
    </row>
    <row r="21" spans="2:9" s="160" customFormat="1" ht="15.5" hidden="1" x14ac:dyDescent="0.35">
      <c r="B21" s="286">
        <v>0</v>
      </c>
      <c r="C21" s="287" t="s">
        <v>325</v>
      </c>
      <c r="D21" s="289" t="e">
        <v>#DIV/0!</v>
      </c>
      <c r="E21" s="270">
        <v>0</v>
      </c>
      <c r="F21" s="516">
        <v>0</v>
      </c>
      <c r="G21" s="516"/>
      <c r="H21" s="271"/>
      <c r="I21" s="270"/>
    </row>
    <row r="22" spans="2:9" s="160" customFormat="1" ht="15.5" hidden="1" x14ac:dyDescent="0.35">
      <c r="B22" s="286">
        <v>40</v>
      </c>
      <c r="C22" s="287" t="s">
        <v>325</v>
      </c>
      <c r="D22" s="289">
        <v>1952.8</v>
      </c>
      <c r="E22" s="270">
        <v>0</v>
      </c>
      <c r="F22" s="516">
        <v>0</v>
      </c>
      <c r="G22" s="516"/>
      <c r="H22" s="271"/>
      <c r="I22" s="270"/>
    </row>
    <row r="23" spans="2:9" s="160" customFormat="1" ht="15" hidden="1" customHeight="1" x14ac:dyDescent="0.35">
      <c r="B23" s="268" t="s">
        <v>152</v>
      </c>
      <c r="C23" s="268" t="s">
        <v>128</v>
      </c>
      <c r="D23" s="268" t="s">
        <v>328</v>
      </c>
      <c r="E23" s="268" t="s">
        <v>325</v>
      </c>
      <c r="F23" s="521" t="s">
        <v>325</v>
      </c>
      <c r="G23" s="521"/>
      <c r="H23" s="272"/>
      <c r="I23" s="273" t="s">
        <v>327</v>
      </c>
    </row>
    <row r="24" spans="2:9" s="160" customFormat="1" ht="15" hidden="1" customHeight="1" x14ac:dyDescent="0.35">
      <c r="B24" s="286">
        <v>30</v>
      </c>
      <c r="C24" s="287" t="s">
        <v>325</v>
      </c>
      <c r="D24" s="289">
        <v>1619.1</v>
      </c>
      <c r="E24" s="270">
        <v>0</v>
      </c>
      <c r="F24" s="516">
        <v>0</v>
      </c>
      <c r="G24" s="516"/>
      <c r="H24" s="271"/>
      <c r="I24" s="270"/>
    </row>
    <row r="25" spans="2:9" s="160" customFormat="1" ht="15" hidden="1" customHeight="1" x14ac:dyDescent="0.35">
      <c r="B25" s="286">
        <v>60</v>
      </c>
      <c r="C25" s="287" t="s">
        <v>325</v>
      </c>
      <c r="D25" s="289">
        <v>2310</v>
      </c>
      <c r="E25" s="270">
        <v>0</v>
      </c>
      <c r="F25" s="516">
        <v>0</v>
      </c>
      <c r="G25" s="516"/>
      <c r="H25" s="271"/>
      <c r="I25" s="270"/>
    </row>
    <row r="26" spans="2:9" s="160" customFormat="1" ht="15" hidden="1" customHeight="1" x14ac:dyDescent="0.35">
      <c r="B26" s="286">
        <v>0</v>
      </c>
      <c r="C26" s="287" t="s">
        <v>325</v>
      </c>
      <c r="D26" s="289" t="e">
        <v>#DIV/0!</v>
      </c>
      <c r="E26" s="270">
        <v>0</v>
      </c>
      <c r="F26" s="516">
        <v>0</v>
      </c>
      <c r="G26" s="516"/>
      <c r="H26" s="271"/>
      <c r="I26" s="270"/>
    </row>
    <row r="27" spans="2:9" s="160" customFormat="1" ht="15" hidden="1" customHeight="1" x14ac:dyDescent="0.35">
      <c r="B27" s="286">
        <v>0</v>
      </c>
      <c r="C27" s="287" t="s">
        <v>325</v>
      </c>
      <c r="D27" s="289" t="e">
        <v>#DIV/0!</v>
      </c>
      <c r="E27" s="270">
        <v>0</v>
      </c>
      <c r="F27" s="516">
        <v>0</v>
      </c>
      <c r="G27" s="516"/>
      <c r="H27" s="271"/>
      <c r="I27" s="270"/>
    </row>
    <row r="28" spans="2:9" s="160" customFormat="1" ht="15" hidden="1" customHeight="1" x14ac:dyDescent="0.35">
      <c r="B28" s="286">
        <v>0</v>
      </c>
      <c r="C28" s="287" t="s">
        <v>325</v>
      </c>
      <c r="D28" s="289" t="e">
        <v>#DIV/0!</v>
      </c>
      <c r="E28" s="270">
        <v>0</v>
      </c>
      <c r="F28" s="516">
        <v>0</v>
      </c>
      <c r="G28" s="516"/>
      <c r="H28" s="271"/>
      <c r="I28" s="270"/>
    </row>
    <row r="29" spans="2:9" s="160" customFormat="1" ht="15.5" hidden="1" x14ac:dyDescent="0.35">
      <c r="B29" s="286">
        <v>0</v>
      </c>
      <c r="C29" s="287" t="s">
        <v>325</v>
      </c>
      <c r="D29" s="289" t="e">
        <v>#DIV/0!</v>
      </c>
      <c r="E29" s="270">
        <v>0</v>
      </c>
      <c r="F29" s="516">
        <v>0</v>
      </c>
      <c r="G29" s="516"/>
      <c r="H29" s="271"/>
      <c r="I29" s="270"/>
    </row>
    <row r="30" spans="2:9" s="160" customFormat="1" ht="15.5" hidden="1" x14ac:dyDescent="0.35">
      <c r="B30" s="286">
        <v>0</v>
      </c>
      <c r="C30" s="287" t="s">
        <v>325</v>
      </c>
      <c r="D30" s="289" t="e">
        <v>#DIV/0!</v>
      </c>
      <c r="E30" s="270">
        <v>0</v>
      </c>
      <c r="F30" s="516">
        <v>0</v>
      </c>
      <c r="G30" s="516"/>
      <c r="H30" s="271"/>
      <c r="I30" s="270"/>
    </row>
    <row r="31" spans="2:9" s="160" customFormat="1" ht="15.5" hidden="1" x14ac:dyDescent="0.35">
      <c r="B31" s="286">
        <v>40</v>
      </c>
      <c r="C31" s="287" t="s">
        <v>325</v>
      </c>
      <c r="D31" s="289">
        <v>1849.1999999999998</v>
      </c>
      <c r="E31" s="270">
        <v>0</v>
      </c>
      <c r="F31" s="516">
        <v>0</v>
      </c>
      <c r="G31" s="516"/>
      <c r="H31" s="271"/>
      <c r="I31" s="270"/>
    </row>
    <row r="32" spans="2:9" s="161" customFormat="1" ht="15" hidden="1" customHeight="1" x14ac:dyDescent="0.35">
      <c r="B32" s="268" t="s">
        <v>150</v>
      </c>
      <c r="C32" s="268" t="s">
        <v>128</v>
      </c>
      <c r="D32" s="268" t="s">
        <v>328</v>
      </c>
      <c r="E32" s="268" t="s">
        <v>325</v>
      </c>
      <c r="F32" s="521" t="s">
        <v>325</v>
      </c>
      <c r="G32" s="521"/>
      <c r="H32" s="272"/>
      <c r="I32" s="273" t="s">
        <v>327</v>
      </c>
    </row>
    <row r="33" spans="2:9" s="160" customFormat="1" ht="15.5" hidden="1" x14ac:dyDescent="0.35">
      <c r="B33" s="286">
        <v>30</v>
      </c>
      <c r="C33" s="287" t="s">
        <v>325</v>
      </c>
      <c r="D33" s="289">
        <v>1269.8999999999999</v>
      </c>
      <c r="E33" s="270">
        <v>0</v>
      </c>
      <c r="F33" s="516">
        <v>0</v>
      </c>
      <c r="G33" s="516"/>
      <c r="H33" s="271"/>
      <c r="I33" s="270"/>
    </row>
    <row r="34" spans="2:9" s="160" customFormat="1" ht="15.5" hidden="1" x14ac:dyDescent="0.35">
      <c r="B34" s="286">
        <v>60</v>
      </c>
      <c r="C34" s="287" t="s">
        <v>325</v>
      </c>
      <c r="D34" s="289">
        <v>1766.4</v>
      </c>
      <c r="E34" s="270">
        <v>0</v>
      </c>
      <c r="F34" s="516">
        <v>0</v>
      </c>
      <c r="G34" s="516"/>
      <c r="H34" s="271"/>
      <c r="I34" s="270"/>
    </row>
    <row r="35" spans="2:9" s="160" customFormat="1" ht="15.5" hidden="1" x14ac:dyDescent="0.35">
      <c r="B35" s="286">
        <v>0</v>
      </c>
      <c r="C35" s="287" t="s">
        <v>325</v>
      </c>
      <c r="D35" s="289" t="e">
        <v>#DIV/0!</v>
      </c>
      <c r="E35" s="270">
        <v>0</v>
      </c>
      <c r="F35" s="516">
        <v>0</v>
      </c>
      <c r="G35" s="516"/>
      <c r="H35" s="271"/>
      <c r="I35" s="270"/>
    </row>
    <row r="36" spans="2:9" s="160" customFormat="1" ht="15.5" hidden="1" x14ac:dyDescent="0.35">
      <c r="B36" s="286">
        <v>0</v>
      </c>
      <c r="C36" s="287" t="s">
        <v>325</v>
      </c>
      <c r="D36" s="289" t="e">
        <v>#DIV/0!</v>
      </c>
      <c r="E36" s="270">
        <v>0</v>
      </c>
      <c r="F36" s="516">
        <v>0</v>
      </c>
      <c r="G36" s="516"/>
      <c r="H36" s="271"/>
      <c r="I36" s="270"/>
    </row>
    <row r="37" spans="2:9" s="160" customFormat="1" ht="15.5" hidden="1" x14ac:dyDescent="0.35">
      <c r="B37" s="286">
        <v>0</v>
      </c>
      <c r="C37" s="287" t="s">
        <v>325</v>
      </c>
      <c r="D37" s="289" t="e">
        <v>#DIV/0!</v>
      </c>
      <c r="E37" s="270">
        <v>0</v>
      </c>
      <c r="F37" s="516">
        <v>0</v>
      </c>
      <c r="G37" s="516"/>
      <c r="H37" s="271"/>
      <c r="I37" s="270"/>
    </row>
    <row r="38" spans="2:9" s="160" customFormat="1" ht="15.5" hidden="1" x14ac:dyDescent="0.35">
      <c r="B38" s="286">
        <v>0</v>
      </c>
      <c r="C38" s="287" t="s">
        <v>325</v>
      </c>
      <c r="D38" s="289" t="e">
        <v>#DIV/0!</v>
      </c>
      <c r="E38" s="270">
        <v>0</v>
      </c>
      <c r="F38" s="516">
        <v>0</v>
      </c>
      <c r="G38" s="516"/>
      <c r="H38" s="271"/>
      <c r="I38" s="270"/>
    </row>
    <row r="39" spans="2:9" s="160" customFormat="1" ht="15.5" hidden="1" x14ac:dyDescent="0.35">
      <c r="B39" s="286">
        <v>0</v>
      </c>
      <c r="C39" s="287" t="s">
        <v>325</v>
      </c>
      <c r="D39" s="289" t="e">
        <v>#DIV/0!</v>
      </c>
      <c r="E39" s="270">
        <v>0</v>
      </c>
      <c r="F39" s="516">
        <v>0</v>
      </c>
      <c r="G39" s="516"/>
      <c r="H39" s="271"/>
      <c r="I39" s="270"/>
    </row>
    <row r="40" spans="2:9" s="160" customFormat="1" ht="15.5" hidden="1" x14ac:dyDescent="0.35">
      <c r="B40" s="286">
        <v>40</v>
      </c>
      <c r="C40" s="287" t="s">
        <v>325</v>
      </c>
      <c r="D40" s="289">
        <v>1435.6</v>
      </c>
      <c r="E40" s="270">
        <v>0</v>
      </c>
      <c r="F40" s="516">
        <v>0</v>
      </c>
      <c r="G40" s="516"/>
      <c r="H40" s="271"/>
      <c r="I40" s="270"/>
    </row>
    <row r="41" spans="2:9" s="161" customFormat="1" ht="15" customHeight="1" x14ac:dyDescent="0.35">
      <c r="B41" s="268" t="s">
        <v>150</v>
      </c>
      <c r="C41" s="268"/>
      <c r="D41" s="268" t="s">
        <v>328</v>
      </c>
      <c r="E41" s="268" t="s">
        <v>325</v>
      </c>
      <c r="F41" s="521" t="s">
        <v>325</v>
      </c>
      <c r="G41" s="521"/>
      <c r="H41" s="272"/>
      <c r="I41" s="273" t="s">
        <v>327</v>
      </c>
    </row>
    <row r="42" spans="2:9" s="160" customFormat="1" ht="15.5" hidden="1" x14ac:dyDescent="0.35">
      <c r="B42" s="286">
        <v>30</v>
      </c>
      <c r="C42" s="287" t="s">
        <v>325</v>
      </c>
      <c r="D42" s="289">
        <v>1112.7</v>
      </c>
      <c r="E42" s="270">
        <v>0</v>
      </c>
      <c r="F42" s="516">
        <v>0</v>
      </c>
      <c r="G42" s="516"/>
      <c r="H42" s="271"/>
      <c r="I42" s="270"/>
    </row>
    <row r="43" spans="2:9" s="160" customFormat="1" ht="15.5" x14ac:dyDescent="0.35">
      <c r="B43" s="286">
        <v>60</v>
      </c>
      <c r="C43" s="287" t="s">
        <v>325</v>
      </c>
      <c r="D43" s="289">
        <v>1521.6</v>
      </c>
      <c r="E43" s="270">
        <v>0</v>
      </c>
      <c r="F43" s="516">
        <v>0</v>
      </c>
      <c r="G43" s="516"/>
      <c r="H43" s="271"/>
      <c r="I43" s="270"/>
    </row>
    <row r="44" spans="2:9" s="160" customFormat="1" ht="15.5" hidden="1" x14ac:dyDescent="0.35">
      <c r="B44" s="286">
        <v>0</v>
      </c>
      <c r="C44" s="287" t="s">
        <v>325</v>
      </c>
      <c r="D44" s="289" t="e">
        <v>#DIV/0!</v>
      </c>
      <c r="E44" s="270">
        <v>0</v>
      </c>
      <c r="F44" s="516">
        <v>0</v>
      </c>
      <c r="G44" s="516"/>
      <c r="H44" s="271"/>
      <c r="I44" s="270"/>
    </row>
    <row r="45" spans="2:9" s="160" customFormat="1" ht="15.5" hidden="1" x14ac:dyDescent="0.35">
      <c r="B45" s="286">
        <v>0</v>
      </c>
      <c r="C45" s="287" t="s">
        <v>325</v>
      </c>
      <c r="D45" s="289" t="e">
        <v>#DIV/0!</v>
      </c>
      <c r="E45" s="270">
        <v>0</v>
      </c>
      <c r="F45" s="516">
        <v>0</v>
      </c>
      <c r="G45" s="516"/>
      <c r="H45" s="271"/>
      <c r="I45" s="270"/>
    </row>
    <row r="46" spans="2:9" s="160" customFormat="1" ht="15.5" hidden="1" x14ac:dyDescent="0.35">
      <c r="B46" s="286">
        <v>0</v>
      </c>
      <c r="C46" s="287" t="s">
        <v>325</v>
      </c>
      <c r="D46" s="289" t="e">
        <v>#DIV/0!</v>
      </c>
      <c r="E46" s="270">
        <v>0</v>
      </c>
      <c r="F46" s="516">
        <v>0</v>
      </c>
      <c r="G46" s="516"/>
      <c r="H46" s="271"/>
      <c r="I46" s="270"/>
    </row>
    <row r="47" spans="2:9" s="160" customFormat="1" ht="15.5" hidden="1" x14ac:dyDescent="0.35">
      <c r="B47" s="286">
        <v>0</v>
      </c>
      <c r="C47" s="287" t="s">
        <v>325</v>
      </c>
      <c r="D47" s="289" t="e">
        <v>#DIV/0!</v>
      </c>
      <c r="E47" s="270">
        <v>0</v>
      </c>
      <c r="F47" s="516">
        <v>0</v>
      </c>
      <c r="G47" s="516"/>
      <c r="H47" s="271"/>
      <c r="I47" s="270"/>
    </row>
    <row r="48" spans="2:9" s="160" customFormat="1" ht="15.5" hidden="1" x14ac:dyDescent="0.35">
      <c r="B48" s="286">
        <v>0</v>
      </c>
      <c r="C48" s="287" t="s">
        <v>325</v>
      </c>
      <c r="D48" s="289" t="e">
        <v>#DIV/0!</v>
      </c>
      <c r="E48" s="270">
        <v>0</v>
      </c>
      <c r="F48" s="516">
        <v>0</v>
      </c>
      <c r="G48" s="516"/>
      <c r="H48" s="271"/>
      <c r="I48" s="270"/>
    </row>
    <row r="49" spans="1:9" s="160" customFormat="1" ht="15.5" hidden="1" x14ac:dyDescent="0.35">
      <c r="B49" s="286">
        <v>40</v>
      </c>
      <c r="C49" s="287" t="s">
        <v>325</v>
      </c>
      <c r="D49" s="289">
        <v>1248.8</v>
      </c>
      <c r="E49" s="270">
        <v>0</v>
      </c>
      <c r="F49" s="516">
        <v>0</v>
      </c>
      <c r="G49" s="516"/>
      <c r="H49" s="271"/>
      <c r="I49" s="270"/>
    </row>
    <row r="50" spans="1:9" s="153" customFormat="1" ht="17" x14ac:dyDescent="0.5"/>
    <row r="51" spans="1:9" ht="14.5" x14ac:dyDescent="0.45">
      <c r="A51" s="518" t="s">
        <v>200</v>
      </c>
      <c r="B51" s="518"/>
      <c r="C51" s="518"/>
      <c r="F51" s="518" t="s">
        <v>38</v>
      </c>
      <c r="G51" s="518"/>
      <c r="H51" s="518"/>
      <c r="I51" s="518"/>
    </row>
    <row r="52" spans="1:9" ht="13" x14ac:dyDescent="0.4">
      <c r="B52" s="163" t="s">
        <v>201</v>
      </c>
      <c r="C52" s="267" t="s">
        <v>55</v>
      </c>
      <c r="D52" s="177"/>
      <c r="E52" s="177"/>
      <c r="F52" s="519" t="s">
        <v>474</v>
      </c>
      <c r="G52" s="519"/>
      <c r="H52" s="519"/>
      <c r="I52" s="519"/>
    </row>
    <row r="53" spans="1:9" ht="13" x14ac:dyDescent="0.4">
      <c r="B53" s="163" t="s">
        <v>202</v>
      </c>
      <c r="C53" s="267" t="s">
        <v>310</v>
      </c>
      <c r="D53" s="177"/>
      <c r="E53" s="177"/>
      <c r="F53" s="519"/>
      <c r="G53" s="519"/>
      <c r="H53" s="519"/>
      <c r="I53" s="519"/>
    </row>
    <row r="54" spans="1:9" ht="13" x14ac:dyDescent="0.4">
      <c r="B54" s="163" t="s">
        <v>203</v>
      </c>
      <c r="C54" s="267" t="s">
        <v>307</v>
      </c>
      <c r="D54" s="177"/>
      <c r="E54" s="177"/>
      <c r="F54" s="519"/>
      <c r="G54" s="519"/>
      <c r="H54" s="519"/>
      <c r="I54" s="519"/>
    </row>
    <row r="55" spans="1:9" ht="13" x14ac:dyDescent="0.4">
      <c r="B55" s="163" t="s">
        <v>204</v>
      </c>
      <c r="C55" s="267" t="s">
        <v>74</v>
      </c>
      <c r="D55" s="177"/>
      <c r="E55" s="177"/>
    </row>
    <row r="56" spans="1:9" ht="14.5" x14ac:dyDescent="0.45">
      <c r="B56" s="163" t="s">
        <v>330</v>
      </c>
      <c r="C56" s="267" t="s">
        <v>475</v>
      </c>
      <c r="D56" s="177"/>
      <c r="E56" s="177"/>
      <c r="F56" s="518" t="s">
        <v>36</v>
      </c>
      <c r="G56" s="518"/>
      <c r="H56" s="518"/>
      <c r="I56" s="518"/>
    </row>
    <row r="57" spans="1:9" ht="12.75" customHeight="1" x14ac:dyDescent="0.4">
      <c r="B57" s="163"/>
      <c r="C57" s="267" t="s">
        <v>476</v>
      </c>
      <c r="D57" s="177"/>
      <c r="E57" s="177"/>
      <c r="F57" s="520" t="s">
        <v>487</v>
      </c>
      <c r="G57" s="520"/>
      <c r="H57" s="520"/>
      <c r="I57" s="520"/>
    </row>
    <row r="58" spans="1:9" ht="13" x14ac:dyDescent="0.4">
      <c r="B58" s="163" t="s">
        <v>325</v>
      </c>
      <c r="C58" s="267" t="s">
        <v>488</v>
      </c>
      <c r="D58" s="177"/>
      <c r="E58" s="177"/>
      <c r="F58" s="520"/>
      <c r="G58" s="520"/>
      <c r="H58" s="520"/>
      <c r="I58" s="520"/>
    </row>
    <row r="59" spans="1:9" ht="13" x14ac:dyDescent="0.4">
      <c r="B59" s="184"/>
      <c r="D59" s="177"/>
      <c r="E59" s="177"/>
      <c r="F59" s="520"/>
      <c r="G59" s="520"/>
      <c r="H59" s="520"/>
      <c r="I59" s="520"/>
    </row>
    <row r="60" spans="1:9" ht="14.5" x14ac:dyDescent="0.45">
      <c r="B60" s="518" t="s">
        <v>146</v>
      </c>
      <c r="C60" s="518"/>
      <c r="D60" s="177"/>
      <c r="F60" s="520"/>
      <c r="G60" s="520"/>
      <c r="H60" s="520"/>
      <c r="I60" s="520"/>
    </row>
    <row r="61" spans="1:9" ht="14.25" customHeight="1" x14ac:dyDescent="0.4">
      <c r="B61" s="517" t="s">
        <v>479</v>
      </c>
      <c r="C61" s="517"/>
      <c r="D61" s="517"/>
      <c r="F61" s="293"/>
      <c r="G61" s="293"/>
      <c r="H61" s="293"/>
      <c r="I61" s="293"/>
    </row>
    <row r="62" spans="1:9" ht="12.75" customHeight="1" x14ac:dyDescent="0.45">
      <c r="B62" s="517"/>
      <c r="C62" s="517"/>
      <c r="D62" s="517"/>
      <c r="F62" s="518" t="s">
        <v>40</v>
      </c>
      <c r="G62" s="518"/>
      <c r="H62" s="518"/>
      <c r="I62" s="518"/>
    </row>
    <row r="63" spans="1:9" ht="13" x14ac:dyDescent="0.4">
      <c r="B63" s="517"/>
      <c r="C63" s="517"/>
      <c r="D63" s="517"/>
      <c r="F63" s="519" t="s">
        <v>478</v>
      </c>
      <c r="G63" s="519"/>
      <c r="H63" s="519"/>
      <c r="I63" s="519"/>
    </row>
    <row r="64" spans="1:9" ht="12.75" customHeight="1" x14ac:dyDescent="0.4">
      <c r="B64" s="517"/>
      <c r="C64" s="517"/>
      <c r="D64" s="517"/>
      <c r="F64" s="519"/>
      <c r="G64" s="519"/>
      <c r="H64" s="519"/>
      <c r="I64" s="519"/>
    </row>
    <row r="65" spans="1:10" ht="13.5" customHeight="1" x14ac:dyDescent="0.4">
      <c r="B65" s="517"/>
      <c r="C65" s="517"/>
      <c r="D65" s="517"/>
      <c r="F65" s="519"/>
      <c r="G65" s="519"/>
      <c r="H65" s="519"/>
      <c r="I65" s="519"/>
    </row>
    <row r="66" spans="1:10" ht="13" x14ac:dyDescent="0.4">
      <c r="B66" s="517"/>
      <c r="C66" s="517"/>
      <c r="D66" s="517"/>
      <c r="F66" s="292"/>
      <c r="G66" s="292"/>
      <c r="H66" s="292"/>
      <c r="I66" s="292"/>
    </row>
    <row r="67" spans="1:10" ht="14.5" thickBot="1" x14ac:dyDescent="0.45">
      <c r="A67" s="164"/>
      <c r="B67" s="164"/>
      <c r="C67" s="164"/>
      <c r="D67" s="164"/>
      <c r="E67" s="164"/>
      <c r="F67" s="178"/>
      <c r="G67" s="178"/>
      <c r="H67" s="178"/>
      <c r="I67" s="178"/>
      <c r="J67" s="275" t="s">
        <v>468</v>
      </c>
    </row>
    <row r="68" spans="1:10" ht="15.75" customHeight="1" thickTop="1" x14ac:dyDescent="0.4">
      <c r="A68" s="514" t="s">
        <v>389</v>
      </c>
      <c r="B68" s="514"/>
      <c r="C68" s="514"/>
      <c r="D68" s="514"/>
      <c r="E68" s="514"/>
      <c r="F68" s="514"/>
      <c r="G68" s="514"/>
      <c r="H68" s="514"/>
      <c r="I68" s="514"/>
      <c r="J68" s="514"/>
    </row>
    <row r="69" spans="1:10" ht="15.75" customHeight="1" x14ac:dyDescent="0.4">
      <c r="A69" s="515"/>
      <c r="B69" s="515"/>
      <c r="C69" s="515"/>
      <c r="D69" s="515"/>
      <c r="E69" s="515"/>
      <c r="F69" s="515"/>
      <c r="G69" s="515"/>
      <c r="H69" s="515"/>
      <c r="I69" s="515"/>
      <c r="J69" s="515"/>
    </row>
    <row r="70" spans="1:10" ht="15.75" customHeight="1" x14ac:dyDescent="0.4">
      <c r="A70" s="515"/>
      <c r="B70" s="515"/>
      <c r="C70" s="515"/>
      <c r="D70" s="515"/>
      <c r="E70" s="515"/>
      <c r="F70" s="515"/>
      <c r="G70" s="515"/>
      <c r="H70" s="515"/>
      <c r="I70" s="515"/>
      <c r="J70" s="515"/>
    </row>
    <row r="71" spans="1:10" ht="409.5" hidden="1" x14ac:dyDescent="0.4">
      <c r="A71" s="184" t="s">
        <v>484</v>
      </c>
    </row>
    <row r="73" spans="1:10" ht="13" hidden="1" x14ac:dyDescent="0.4">
      <c r="A73" s="284" t="s">
        <v>329</v>
      </c>
    </row>
  </sheetData>
  <sheetProtection selectLockedCells="1"/>
  <mergeCells count="57">
    <mergeCell ref="H1:J1"/>
    <mergeCell ref="H2:J2"/>
    <mergeCell ref="H3:J3"/>
    <mergeCell ref="H4:J4"/>
    <mergeCell ref="B6:D9"/>
    <mergeCell ref="F6:I6"/>
    <mergeCell ref="F7:G7"/>
    <mergeCell ref="H7:I7"/>
    <mergeCell ref="F8:G8"/>
    <mergeCell ref="H8:I8"/>
    <mergeCell ref="F24:G24"/>
    <mergeCell ref="E9:G9"/>
    <mergeCell ref="F14:G14"/>
    <mergeCell ref="F15:G15"/>
    <mergeCell ref="F16:G16"/>
    <mergeCell ref="F17:G17"/>
    <mergeCell ref="F18:G18"/>
    <mergeCell ref="F19:G19"/>
    <mergeCell ref="F20:G20"/>
    <mergeCell ref="F21:G21"/>
    <mergeCell ref="F22:G22"/>
    <mergeCell ref="F23:G23"/>
    <mergeCell ref="F36:G36"/>
    <mergeCell ref="F25:G25"/>
    <mergeCell ref="F26:G26"/>
    <mergeCell ref="F27:G27"/>
    <mergeCell ref="F28:G28"/>
    <mergeCell ref="F29:G29"/>
    <mergeCell ref="F30:G30"/>
    <mergeCell ref="F31:G31"/>
    <mergeCell ref="F32:G32"/>
    <mergeCell ref="F33:G33"/>
    <mergeCell ref="F34:G34"/>
    <mergeCell ref="F35:G35"/>
    <mergeCell ref="F48:G48"/>
    <mergeCell ref="F37:G37"/>
    <mergeCell ref="F38:G38"/>
    <mergeCell ref="F39:G39"/>
    <mergeCell ref="F40:G40"/>
    <mergeCell ref="F41:G41"/>
    <mergeCell ref="F42:G42"/>
    <mergeCell ref="F43:G43"/>
    <mergeCell ref="F44:G44"/>
    <mergeCell ref="F45:G45"/>
    <mergeCell ref="F46:G46"/>
    <mergeCell ref="F47:G47"/>
    <mergeCell ref="B61:D66"/>
    <mergeCell ref="F62:I62"/>
    <mergeCell ref="F63:I65"/>
    <mergeCell ref="A68:J70"/>
    <mergeCell ref="F49:G49"/>
    <mergeCell ref="A51:C51"/>
    <mergeCell ref="F51:I51"/>
    <mergeCell ref="F52:I54"/>
    <mergeCell ref="F56:I56"/>
    <mergeCell ref="F57:I60"/>
    <mergeCell ref="B60:C60"/>
  </mergeCells>
  <printOptions horizontalCentered="1"/>
  <pageMargins left="0.7" right="0.7" top="0.75" bottom="0.75" header="0.3" footer="0.3"/>
  <pageSetup scale="54" orientation="portrait" r:id="rId1"/>
  <headerFooter alignWithMargins="0"/>
  <drawing r:id="rId2"/>
  <legacyDrawing r:id="rId3"/>
  <controls>
    <mc:AlternateContent xmlns:mc="http://schemas.openxmlformats.org/markup-compatibility/2006">
      <mc:Choice Requires="x14">
        <control shapeId="44033" r:id="rId4" name="CommandButton1">
          <controlPr defaultSize="0" print="0" autoLine="0" autoPict="0" r:id="rId5">
            <anchor moveWithCells="1">
              <from>
                <xdr:col>0</xdr:col>
                <xdr:colOff>190500</xdr:colOff>
                <xdr:row>67</xdr:row>
                <xdr:rowOff>152400</xdr:rowOff>
              </from>
              <to>
                <xdr:col>2</xdr:col>
                <xdr:colOff>438150</xdr:colOff>
                <xdr:row>69</xdr:row>
                <xdr:rowOff>31750</xdr:rowOff>
              </to>
            </anchor>
          </controlPr>
        </control>
      </mc:Choice>
      <mc:Fallback>
        <control shapeId="44033" r:id="rId4" name="CommandButton1"/>
      </mc:Fallback>
    </mc:AlternateContent>
    <mc:AlternateContent xmlns:mc="http://schemas.openxmlformats.org/markup-compatibility/2006">
      <mc:Choice Requires="x14">
        <control shapeId="44034" r:id="rId6" name="CommandButton2">
          <controlPr defaultSize="0" print="0" autoLine="0" autoPict="0" r:id="rId7">
            <anchor moveWithCells="1">
              <from>
                <xdr:col>8</xdr:col>
                <xdr:colOff>114300</xdr:colOff>
                <xdr:row>67</xdr:row>
                <xdr:rowOff>152400</xdr:rowOff>
              </from>
              <to>
                <xdr:col>9</xdr:col>
                <xdr:colOff>323850</xdr:colOff>
                <xdr:row>69</xdr:row>
                <xdr:rowOff>31750</xdr:rowOff>
              </to>
            </anchor>
          </controlPr>
        </control>
      </mc:Choice>
      <mc:Fallback>
        <control shapeId="44034" r:id="rId6" name="CommandButton2"/>
      </mc:Fallback>
    </mc:AlternateContent>
    <mc:AlternateContent xmlns:mc="http://schemas.openxmlformats.org/markup-compatibility/2006">
      <mc:Choice Requires="x14">
        <control shapeId="44035" r:id="rId8" name="CommandButton3">
          <controlPr defaultSize="0" print="0" autoLine="0" autoPict="0" r:id="rId9">
            <anchor moveWithCells="1">
              <from>
                <xdr:col>3</xdr:col>
                <xdr:colOff>146050</xdr:colOff>
                <xdr:row>67</xdr:row>
                <xdr:rowOff>152400</xdr:rowOff>
              </from>
              <to>
                <xdr:col>5</xdr:col>
                <xdr:colOff>342900</xdr:colOff>
                <xdr:row>69</xdr:row>
                <xdr:rowOff>31750</xdr:rowOff>
              </to>
            </anchor>
          </controlPr>
        </control>
      </mc:Choice>
      <mc:Fallback>
        <control shapeId="44035" r:id="rId8" name="CommandButton3"/>
      </mc:Fallback>
    </mc:AlternateContent>
    <mc:AlternateContent xmlns:mc="http://schemas.openxmlformats.org/markup-compatibility/2006">
      <mc:Choice Requires="x14">
        <control shapeId="44036" r:id="rId10" name="CommandButton4">
          <controlPr defaultSize="0" print="0" autoLine="0" autoPict="0" r:id="rId11">
            <anchor moveWithCells="1">
              <from>
                <xdr:col>8</xdr:col>
                <xdr:colOff>831850</xdr:colOff>
                <xdr:row>5</xdr:row>
                <xdr:rowOff>209550</xdr:rowOff>
              </from>
              <to>
                <xdr:col>9</xdr:col>
                <xdr:colOff>355600</xdr:colOff>
                <xdr:row>7</xdr:row>
                <xdr:rowOff>19050</xdr:rowOff>
              </to>
            </anchor>
          </controlPr>
        </control>
      </mc:Choice>
      <mc:Fallback>
        <control shapeId="44036" r:id="rId10" name="CommandButton4"/>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C7BFA-34D4-470A-8216-7F9295236DB5}">
  <sheetPr codeName="Sheet11">
    <tabColor rgb="FFFFFFCC"/>
    <pageSetUpPr fitToPage="1"/>
  </sheetPr>
  <dimension ref="A1:WVP73"/>
  <sheetViews>
    <sheetView showGridLines="0" showZeros="0" zoomScale="120" zoomScaleNormal="120" workbookViewId="0">
      <selection activeCell="H7" sqref="H7:I7"/>
    </sheetView>
  </sheetViews>
  <sheetFormatPr defaultColWidth="0" defaultRowHeight="12" customHeight="1" zeroHeight="1" x14ac:dyDescent="0.4"/>
  <cols>
    <col min="1" max="2" width="9.1796875" style="162" customWidth="1"/>
    <col min="3" max="3" width="13.1796875" style="162" customWidth="1"/>
    <col min="4" max="4" width="11.26953125" style="162" bestFit="1" customWidth="1"/>
    <col min="5" max="5" width="7.7265625" style="162" customWidth="1"/>
    <col min="6" max="7" width="6" style="162" customWidth="1"/>
    <col min="8" max="8" width="9.453125" style="162" hidden="1" customWidth="1"/>
    <col min="9" max="9" width="18.81640625" style="162" customWidth="1"/>
    <col min="10" max="10" width="15" style="162" bestFit="1" customWidth="1"/>
    <col min="11" max="258" width="9.1796875" style="162" hidden="1"/>
    <col min="259" max="259" width="13.1796875" style="162" hidden="1"/>
    <col min="260" max="260" width="9.1796875" style="162" hidden="1"/>
    <col min="261" max="261" width="7.7265625" style="162" hidden="1"/>
    <col min="262" max="263" width="6" style="162" hidden="1"/>
    <col min="264" max="264" width="8.1796875" style="162" hidden="1"/>
    <col min="265" max="514" width="9.1796875" style="162" hidden="1"/>
    <col min="515" max="515" width="13.1796875" style="162" hidden="1"/>
    <col min="516" max="516" width="9.1796875" style="162" hidden="1"/>
    <col min="517" max="517" width="7.7265625" style="162" hidden="1"/>
    <col min="518" max="519" width="6" style="162" hidden="1"/>
    <col min="520" max="520" width="8.1796875" style="162" hidden="1"/>
    <col min="521" max="770" width="9.1796875" style="162" hidden="1"/>
    <col min="771" max="771" width="13.1796875" style="162" hidden="1"/>
    <col min="772" max="772" width="9.1796875" style="162" hidden="1"/>
    <col min="773" max="773" width="7.7265625" style="162" hidden="1"/>
    <col min="774" max="775" width="6" style="162" hidden="1"/>
    <col min="776" max="776" width="8.1796875" style="162" hidden="1"/>
    <col min="777" max="1026" width="9.1796875" style="162" hidden="1"/>
    <col min="1027" max="1027" width="13.1796875" style="162" hidden="1"/>
    <col min="1028" max="1028" width="9.1796875" style="162" hidden="1"/>
    <col min="1029" max="1029" width="7.7265625" style="162" hidden="1"/>
    <col min="1030" max="1031" width="6" style="162" hidden="1"/>
    <col min="1032" max="1032" width="8.1796875" style="162" hidden="1"/>
    <col min="1033" max="1282" width="9.1796875" style="162" hidden="1"/>
    <col min="1283" max="1283" width="13.1796875" style="162" hidden="1"/>
    <col min="1284" max="1284" width="9.1796875" style="162" hidden="1"/>
    <col min="1285" max="1285" width="7.7265625" style="162" hidden="1"/>
    <col min="1286" max="1287" width="6" style="162" hidden="1"/>
    <col min="1288" max="1288" width="8.1796875" style="162" hidden="1"/>
    <col min="1289" max="1538" width="9.1796875" style="162" hidden="1"/>
    <col min="1539" max="1539" width="13.1796875" style="162" hidden="1"/>
    <col min="1540" max="1540" width="9.1796875" style="162" hidden="1"/>
    <col min="1541" max="1541" width="7.7265625" style="162" hidden="1"/>
    <col min="1542" max="1543" width="6" style="162" hidden="1"/>
    <col min="1544" max="1544" width="8.1796875" style="162" hidden="1"/>
    <col min="1545" max="1794" width="9.1796875" style="162" hidden="1"/>
    <col min="1795" max="1795" width="13.1796875" style="162" hidden="1"/>
    <col min="1796" max="1796" width="9.1796875" style="162" hidden="1"/>
    <col min="1797" max="1797" width="7.7265625" style="162" hidden="1"/>
    <col min="1798" max="1799" width="6" style="162" hidden="1"/>
    <col min="1800" max="1800" width="8.1796875" style="162" hidden="1"/>
    <col min="1801" max="2050" width="9.1796875" style="162" hidden="1"/>
    <col min="2051" max="2051" width="13.1796875" style="162" hidden="1"/>
    <col min="2052" max="2052" width="9.1796875" style="162" hidden="1"/>
    <col min="2053" max="2053" width="7.7265625" style="162" hidden="1"/>
    <col min="2054" max="2055" width="6" style="162" hidden="1"/>
    <col min="2056" max="2056" width="8.1796875" style="162" hidden="1"/>
    <col min="2057" max="2306" width="9.1796875" style="162" hidden="1"/>
    <col min="2307" max="2307" width="13.1796875" style="162" hidden="1"/>
    <col min="2308" max="2308" width="9.1796875" style="162" hidden="1"/>
    <col min="2309" max="2309" width="7.7265625" style="162" hidden="1"/>
    <col min="2310" max="2311" width="6" style="162" hidden="1"/>
    <col min="2312" max="2312" width="8.1796875" style="162" hidden="1"/>
    <col min="2313" max="2562" width="9.1796875" style="162" hidden="1"/>
    <col min="2563" max="2563" width="13.1796875" style="162" hidden="1"/>
    <col min="2564" max="2564" width="9.1796875" style="162" hidden="1"/>
    <col min="2565" max="2565" width="7.7265625" style="162" hidden="1"/>
    <col min="2566" max="2567" width="6" style="162" hidden="1"/>
    <col min="2568" max="2568" width="8.1796875" style="162" hidden="1"/>
    <col min="2569" max="2818" width="9.1796875" style="162" hidden="1"/>
    <col min="2819" max="2819" width="13.1796875" style="162" hidden="1"/>
    <col min="2820" max="2820" width="9.1796875" style="162" hidden="1"/>
    <col min="2821" max="2821" width="7.7265625" style="162" hidden="1"/>
    <col min="2822" max="2823" width="6" style="162" hidden="1"/>
    <col min="2824" max="2824" width="8.1796875" style="162" hidden="1"/>
    <col min="2825" max="3074" width="9.1796875" style="162" hidden="1"/>
    <col min="3075" max="3075" width="13.1796875" style="162" hidden="1"/>
    <col min="3076" max="3076" width="9.1796875" style="162" hidden="1"/>
    <col min="3077" max="3077" width="7.7265625" style="162" hidden="1"/>
    <col min="3078" max="3079" width="6" style="162" hidden="1"/>
    <col min="3080" max="3080" width="8.1796875" style="162" hidden="1"/>
    <col min="3081" max="3330" width="9.1796875" style="162" hidden="1"/>
    <col min="3331" max="3331" width="13.1796875" style="162" hidden="1"/>
    <col min="3332" max="3332" width="9.1796875" style="162" hidden="1"/>
    <col min="3333" max="3333" width="7.7265625" style="162" hidden="1"/>
    <col min="3334" max="3335" width="6" style="162" hidden="1"/>
    <col min="3336" max="3336" width="8.1796875" style="162" hidden="1"/>
    <col min="3337" max="3586" width="9.1796875" style="162" hidden="1"/>
    <col min="3587" max="3587" width="13.1796875" style="162" hidden="1"/>
    <col min="3588" max="3588" width="9.1796875" style="162" hidden="1"/>
    <col min="3589" max="3589" width="7.7265625" style="162" hidden="1"/>
    <col min="3590" max="3591" width="6" style="162" hidden="1"/>
    <col min="3592" max="3592" width="8.1796875" style="162" hidden="1"/>
    <col min="3593" max="3842" width="9.1796875" style="162" hidden="1"/>
    <col min="3843" max="3843" width="13.1796875" style="162" hidden="1"/>
    <col min="3844" max="3844" width="9.1796875" style="162" hidden="1"/>
    <col min="3845" max="3845" width="7.7265625" style="162" hidden="1"/>
    <col min="3846" max="3847" width="6" style="162" hidden="1"/>
    <col min="3848" max="3848" width="8.1796875" style="162" hidden="1"/>
    <col min="3849" max="4098" width="9.1796875" style="162" hidden="1"/>
    <col min="4099" max="4099" width="13.1796875" style="162" hidden="1"/>
    <col min="4100" max="4100" width="9.1796875" style="162" hidden="1"/>
    <col min="4101" max="4101" width="7.7265625" style="162" hidden="1"/>
    <col min="4102" max="4103" width="6" style="162" hidden="1"/>
    <col min="4104" max="4104" width="8.1796875" style="162" hidden="1"/>
    <col min="4105" max="4354" width="9.1796875" style="162" hidden="1"/>
    <col min="4355" max="4355" width="13.1796875" style="162" hidden="1"/>
    <col min="4356" max="4356" width="9.1796875" style="162" hidden="1"/>
    <col min="4357" max="4357" width="7.7265625" style="162" hidden="1"/>
    <col min="4358" max="4359" width="6" style="162" hidden="1"/>
    <col min="4360" max="4360" width="8.1796875" style="162" hidden="1"/>
    <col min="4361" max="4610" width="9.1796875" style="162" hidden="1"/>
    <col min="4611" max="4611" width="13.1796875" style="162" hidden="1"/>
    <col min="4612" max="4612" width="9.1796875" style="162" hidden="1"/>
    <col min="4613" max="4613" width="7.7265625" style="162" hidden="1"/>
    <col min="4614" max="4615" width="6" style="162" hidden="1"/>
    <col min="4616" max="4616" width="8.1796875" style="162" hidden="1"/>
    <col min="4617" max="4866" width="9.1796875" style="162" hidden="1"/>
    <col min="4867" max="4867" width="13.1796875" style="162" hidden="1"/>
    <col min="4868" max="4868" width="9.1796875" style="162" hidden="1"/>
    <col min="4869" max="4869" width="7.7265625" style="162" hidden="1"/>
    <col min="4870" max="4871" width="6" style="162" hidden="1"/>
    <col min="4872" max="4872" width="8.1796875" style="162" hidden="1"/>
    <col min="4873" max="5122" width="9.1796875" style="162" hidden="1"/>
    <col min="5123" max="5123" width="13.1796875" style="162" hidden="1"/>
    <col min="5124" max="5124" width="9.1796875" style="162" hidden="1"/>
    <col min="5125" max="5125" width="7.7265625" style="162" hidden="1"/>
    <col min="5126" max="5127" width="6" style="162" hidden="1"/>
    <col min="5128" max="5128" width="8.1796875" style="162" hidden="1"/>
    <col min="5129" max="5378" width="9.1796875" style="162" hidden="1"/>
    <col min="5379" max="5379" width="13.1796875" style="162" hidden="1"/>
    <col min="5380" max="5380" width="9.1796875" style="162" hidden="1"/>
    <col min="5381" max="5381" width="7.7265625" style="162" hidden="1"/>
    <col min="5382" max="5383" width="6" style="162" hidden="1"/>
    <col min="5384" max="5384" width="8.1796875" style="162" hidden="1"/>
    <col min="5385" max="5634" width="9.1796875" style="162" hidden="1"/>
    <col min="5635" max="5635" width="13.1796875" style="162" hidden="1"/>
    <col min="5636" max="5636" width="9.1796875" style="162" hidden="1"/>
    <col min="5637" max="5637" width="7.7265625" style="162" hidden="1"/>
    <col min="5638" max="5639" width="6" style="162" hidden="1"/>
    <col min="5640" max="5640" width="8.1796875" style="162" hidden="1"/>
    <col min="5641" max="5890" width="9.1796875" style="162" hidden="1"/>
    <col min="5891" max="5891" width="13.1796875" style="162" hidden="1"/>
    <col min="5892" max="5892" width="9.1796875" style="162" hidden="1"/>
    <col min="5893" max="5893" width="7.7265625" style="162" hidden="1"/>
    <col min="5894" max="5895" width="6" style="162" hidden="1"/>
    <col min="5896" max="5896" width="8.1796875" style="162" hidden="1"/>
    <col min="5897" max="6146" width="9.1796875" style="162" hidden="1"/>
    <col min="6147" max="6147" width="13.1796875" style="162" hidden="1"/>
    <col min="6148" max="6148" width="9.1796875" style="162" hidden="1"/>
    <col min="6149" max="6149" width="7.7265625" style="162" hidden="1"/>
    <col min="6150" max="6151" width="6" style="162" hidden="1"/>
    <col min="6152" max="6152" width="8.1796875" style="162" hidden="1"/>
    <col min="6153" max="6402" width="9.1796875" style="162" hidden="1"/>
    <col min="6403" max="6403" width="13.1796875" style="162" hidden="1"/>
    <col min="6404" max="6404" width="9.1796875" style="162" hidden="1"/>
    <col min="6405" max="6405" width="7.7265625" style="162" hidden="1"/>
    <col min="6406" max="6407" width="6" style="162" hidden="1"/>
    <col min="6408" max="6408" width="8.1796875" style="162" hidden="1"/>
    <col min="6409" max="6658" width="9.1796875" style="162" hidden="1"/>
    <col min="6659" max="6659" width="13.1796875" style="162" hidden="1"/>
    <col min="6660" max="6660" width="9.1796875" style="162" hidden="1"/>
    <col min="6661" max="6661" width="7.7265625" style="162" hidden="1"/>
    <col min="6662" max="6663" width="6" style="162" hidden="1"/>
    <col min="6664" max="6664" width="8.1796875" style="162" hidden="1"/>
    <col min="6665" max="6914" width="9.1796875" style="162" hidden="1"/>
    <col min="6915" max="6915" width="13.1796875" style="162" hidden="1"/>
    <col min="6916" max="6916" width="9.1796875" style="162" hidden="1"/>
    <col min="6917" max="6917" width="7.7265625" style="162" hidden="1"/>
    <col min="6918" max="6919" width="6" style="162" hidden="1"/>
    <col min="6920" max="6920" width="8.1796875" style="162" hidden="1"/>
    <col min="6921" max="7170" width="9.1796875" style="162" hidden="1"/>
    <col min="7171" max="7171" width="13.1796875" style="162" hidden="1"/>
    <col min="7172" max="7172" width="9.1796875" style="162" hidden="1"/>
    <col min="7173" max="7173" width="7.7265625" style="162" hidden="1"/>
    <col min="7174" max="7175" width="6" style="162" hidden="1"/>
    <col min="7176" max="7176" width="8.1796875" style="162" hidden="1"/>
    <col min="7177" max="7426" width="9.1796875" style="162" hidden="1"/>
    <col min="7427" max="7427" width="13.1796875" style="162" hidden="1"/>
    <col min="7428" max="7428" width="9.1796875" style="162" hidden="1"/>
    <col min="7429" max="7429" width="7.7265625" style="162" hidden="1"/>
    <col min="7430" max="7431" width="6" style="162" hidden="1"/>
    <col min="7432" max="7432" width="8.1796875" style="162" hidden="1"/>
    <col min="7433" max="7682" width="9.1796875" style="162" hidden="1"/>
    <col min="7683" max="7683" width="13.1796875" style="162" hidden="1"/>
    <col min="7684" max="7684" width="9.1796875" style="162" hidden="1"/>
    <col min="7685" max="7685" width="7.7265625" style="162" hidden="1"/>
    <col min="7686" max="7687" width="6" style="162" hidden="1"/>
    <col min="7688" max="7688" width="8.1796875" style="162" hidden="1"/>
    <col min="7689" max="7938" width="9.1796875" style="162" hidden="1"/>
    <col min="7939" max="7939" width="13.1796875" style="162" hidden="1"/>
    <col min="7940" max="7940" width="9.1796875" style="162" hidden="1"/>
    <col min="7941" max="7941" width="7.7265625" style="162" hidden="1"/>
    <col min="7942" max="7943" width="6" style="162" hidden="1"/>
    <col min="7944" max="7944" width="8.1796875" style="162" hidden="1"/>
    <col min="7945" max="8194" width="9.1796875" style="162" hidden="1"/>
    <col min="8195" max="8195" width="13.1796875" style="162" hidden="1"/>
    <col min="8196" max="8196" width="9.1796875" style="162" hidden="1"/>
    <col min="8197" max="8197" width="7.7265625" style="162" hidden="1"/>
    <col min="8198" max="8199" width="6" style="162" hidden="1"/>
    <col min="8200" max="8200" width="8.1796875" style="162" hidden="1"/>
    <col min="8201" max="8450" width="9.1796875" style="162" hidden="1"/>
    <col min="8451" max="8451" width="13.1796875" style="162" hidden="1"/>
    <col min="8452" max="8452" width="9.1796875" style="162" hidden="1"/>
    <col min="8453" max="8453" width="7.7265625" style="162" hidden="1"/>
    <col min="8454" max="8455" width="6" style="162" hidden="1"/>
    <col min="8456" max="8456" width="8.1796875" style="162" hidden="1"/>
    <col min="8457" max="8706" width="9.1796875" style="162" hidden="1"/>
    <col min="8707" max="8707" width="13.1796875" style="162" hidden="1"/>
    <col min="8708" max="8708" width="9.1796875" style="162" hidden="1"/>
    <col min="8709" max="8709" width="7.7265625" style="162" hidden="1"/>
    <col min="8710" max="8711" width="6" style="162" hidden="1"/>
    <col min="8712" max="8712" width="8.1796875" style="162" hidden="1"/>
    <col min="8713" max="8962" width="9.1796875" style="162" hidden="1"/>
    <col min="8963" max="8963" width="13.1796875" style="162" hidden="1"/>
    <col min="8964" max="8964" width="9.1796875" style="162" hidden="1"/>
    <col min="8965" max="8965" width="7.7265625" style="162" hidden="1"/>
    <col min="8966" max="8967" width="6" style="162" hidden="1"/>
    <col min="8968" max="8968" width="8.1796875" style="162" hidden="1"/>
    <col min="8969" max="9218" width="9.1796875" style="162" hidden="1"/>
    <col min="9219" max="9219" width="13.1796875" style="162" hidden="1"/>
    <col min="9220" max="9220" width="9.1796875" style="162" hidden="1"/>
    <col min="9221" max="9221" width="7.7265625" style="162" hidden="1"/>
    <col min="9222" max="9223" width="6" style="162" hidden="1"/>
    <col min="9224" max="9224" width="8.1796875" style="162" hidden="1"/>
    <col min="9225" max="9474" width="9.1796875" style="162" hidden="1"/>
    <col min="9475" max="9475" width="13.1796875" style="162" hidden="1"/>
    <col min="9476" max="9476" width="9.1796875" style="162" hidden="1"/>
    <col min="9477" max="9477" width="7.7265625" style="162" hidden="1"/>
    <col min="9478" max="9479" width="6" style="162" hidden="1"/>
    <col min="9480" max="9480" width="8.1796875" style="162" hidden="1"/>
    <col min="9481" max="9730" width="9.1796875" style="162" hidden="1"/>
    <col min="9731" max="9731" width="13.1796875" style="162" hidden="1"/>
    <col min="9732" max="9732" width="9.1796875" style="162" hidden="1"/>
    <col min="9733" max="9733" width="7.7265625" style="162" hidden="1"/>
    <col min="9734" max="9735" width="6" style="162" hidden="1"/>
    <col min="9736" max="9736" width="8.1796875" style="162" hidden="1"/>
    <col min="9737" max="9986" width="9.1796875" style="162" hidden="1"/>
    <col min="9987" max="9987" width="13.1796875" style="162" hidden="1"/>
    <col min="9988" max="9988" width="9.1796875" style="162" hidden="1"/>
    <col min="9989" max="9989" width="7.7265625" style="162" hidden="1"/>
    <col min="9990" max="9991" width="6" style="162" hidden="1"/>
    <col min="9992" max="9992" width="8.1796875" style="162" hidden="1"/>
    <col min="9993" max="10242" width="9.1796875" style="162" hidden="1"/>
    <col min="10243" max="10243" width="13.1796875" style="162" hidden="1"/>
    <col min="10244" max="10244" width="9.1796875" style="162" hidden="1"/>
    <col min="10245" max="10245" width="7.7265625" style="162" hidden="1"/>
    <col min="10246" max="10247" width="6" style="162" hidden="1"/>
    <col min="10248" max="10248" width="8.1796875" style="162" hidden="1"/>
    <col min="10249" max="10498" width="9.1796875" style="162" hidden="1"/>
    <col min="10499" max="10499" width="13.1796875" style="162" hidden="1"/>
    <col min="10500" max="10500" width="9.1796875" style="162" hidden="1"/>
    <col min="10501" max="10501" width="7.7265625" style="162" hidden="1"/>
    <col min="10502" max="10503" width="6" style="162" hidden="1"/>
    <col min="10504" max="10504" width="8.1796875" style="162" hidden="1"/>
    <col min="10505" max="10754" width="9.1796875" style="162" hidden="1"/>
    <col min="10755" max="10755" width="13.1796875" style="162" hidden="1"/>
    <col min="10756" max="10756" width="9.1796875" style="162" hidden="1"/>
    <col min="10757" max="10757" width="7.7265625" style="162" hidden="1"/>
    <col min="10758" max="10759" width="6" style="162" hidden="1"/>
    <col min="10760" max="10760" width="8.1796875" style="162" hidden="1"/>
    <col min="10761" max="11010" width="9.1796875" style="162" hidden="1"/>
    <col min="11011" max="11011" width="13.1796875" style="162" hidden="1"/>
    <col min="11012" max="11012" width="9.1796875" style="162" hidden="1"/>
    <col min="11013" max="11013" width="7.7265625" style="162" hidden="1"/>
    <col min="11014" max="11015" width="6" style="162" hidden="1"/>
    <col min="11016" max="11016" width="8.1796875" style="162" hidden="1"/>
    <col min="11017" max="11266" width="9.1796875" style="162" hidden="1"/>
    <col min="11267" max="11267" width="13.1796875" style="162" hidden="1"/>
    <col min="11268" max="11268" width="9.1796875" style="162" hidden="1"/>
    <col min="11269" max="11269" width="7.7265625" style="162" hidden="1"/>
    <col min="11270" max="11271" width="6" style="162" hidden="1"/>
    <col min="11272" max="11272" width="8.1796875" style="162" hidden="1"/>
    <col min="11273" max="11522" width="9.1796875" style="162" hidden="1"/>
    <col min="11523" max="11523" width="13.1796875" style="162" hidden="1"/>
    <col min="11524" max="11524" width="9.1796875" style="162" hidden="1"/>
    <col min="11525" max="11525" width="7.7265625" style="162" hidden="1"/>
    <col min="11526" max="11527" width="6" style="162" hidden="1"/>
    <col min="11528" max="11528" width="8.1796875" style="162" hidden="1"/>
    <col min="11529" max="11778" width="9.1796875" style="162" hidden="1"/>
    <col min="11779" max="11779" width="13.1796875" style="162" hidden="1"/>
    <col min="11780" max="11780" width="9.1796875" style="162" hidden="1"/>
    <col min="11781" max="11781" width="7.7265625" style="162" hidden="1"/>
    <col min="11782" max="11783" width="6" style="162" hidden="1"/>
    <col min="11784" max="11784" width="8.1796875" style="162" hidden="1"/>
    <col min="11785" max="12034" width="9.1796875" style="162" hidden="1"/>
    <col min="12035" max="12035" width="13.1796875" style="162" hidden="1"/>
    <col min="12036" max="12036" width="9.1796875" style="162" hidden="1"/>
    <col min="12037" max="12037" width="7.7265625" style="162" hidden="1"/>
    <col min="12038" max="12039" width="6" style="162" hidden="1"/>
    <col min="12040" max="12040" width="8.1796875" style="162" hidden="1"/>
    <col min="12041" max="12290" width="9.1796875" style="162" hidden="1"/>
    <col min="12291" max="12291" width="13.1796875" style="162" hidden="1"/>
    <col min="12292" max="12292" width="9.1796875" style="162" hidden="1"/>
    <col min="12293" max="12293" width="7.7265625" style="162" hidden="1"/>
    <col min="12294" max="12295" width="6" style="162" hidden="1"/>
    <col min="12296" max="12296" width="8.1796875" style="162" hidden="1"/>
    <col min="12297" max="12546" width="9.1796875" style="162" hidden="1"/>
    <col min="12547" max="12547" width="13.1796875" style="162" hidden="1"/>
    <col min="12548" max="12548" width="9.1796875" style="162" hidden="1"/>
    <col min="12549" max="12549" width="7.7265625" style="162" hidden="1"/>
    <col min="12550" max="12551" width="6" style="162" hidden="1"/>
    <col min="12552" max="12552" width="8.1796875" style="162" hidden="1"/>
    <col min="12553" max="12802" width="9.1796875" style="162" hidden="1"/>
    <col min="12803" max="12803" width="13.1796875" style="162" hidden="1"/>
    <col min="12804" max="12804" width="9.1796875" style="162" hidden="1"/>
    <col min="12805" max="12805" width="7.7265625" style="162" hidden="1"/>
    <col min="12806" max="12807" width="6" style="162" hidden="1"/>
    <col min="12808" max="12808" width="8.1796875" style="162" hidden="1"/>
    <col min="12809" max="13058" width="9.1796875" style="162" hidden="1"/>
    <col min="13059" max="13059" width="13.1796875" style="162" hidden="1"/>
    <col min="13060" max="13060" width="9.1796875" style="162" hidden="1"/>
    <col min="13061" max="13061" width="7.7265625" style="162" hidden="1"/>
    <col min="13062" max="13063" width="6" style="162" hidden="1"/>
    <col min="13064" max="13064" width="8.1796875" style="162" hidden="1"/>
    <col min="13065" max="13314" width="9.1796875" style="162" hidden="1"/>
    <col min="13315" max="13315" width="13.1796875" style="162" hidden="1"/>
    <col min="13316" max="13316" width="9.1796875" style="162" hidden="1"/>
    <col min="13317" max="13317" width="7.7265625" style="162" hidden="1"/>
    <col min="13318" max="13319" width="6" style="162" hidden="1"/>
    <col min="13320" max="13320" width="8.1796875" style="162" hidden="1"/>
    <col min="13321" max="13570" width="9.1796875" style="162" hidden="1"/>
    <col min="13571" max="13571" width="13.1796875" style="162" hidden="1"/>
    <col min="13572" max="13572" width="9.1796875" style="162" hidden="1"/>
    <col min="13573" max="13573" width="7.7265625" style="162" hidden="1"/>
    <col min="13574" max="13575" width="6" style="162" hidden="1"/>
    <col min="13576" max="13576" width="8.1796875" style="162" hidden="1"/>
    <col min="13577" max="13826" width="9.1796875" style="162" hidden="1"/>
    <col min="13827" max="13827" width="13.1796875" style="162" hidden="1"/>
    <col min="13828" max="13828" width="9.1796875" style="162" hidden="1"/>
    <col min="13829" max="13829" width="7.7265625" style="162" hidden="1"/>
    <col min="13830" max="13831" width="6" style="162" hidden="1"/>
    <col min="13832" max="13832" width="8.1796875" style="162" hidden="1"/>
    <col min="13833" max="14082" width="9.1796875" style="162" hidden="1"/>
    <col min="14083" max="14083" width="13.1796875" style="162" hidden="1"/>
    <col min="14084" max="14084" width="9.1796875" style="162" hidden="1"/>
    <col min="14085" max="14085" width="7.7265625" style="162" hidden="1"/>
    <col min="14086" max="14087" width="6" style="162" hidden="1"/>
    <col min="14088" max="14088" width="8.1796875" style="162" hidden="1"/>
    <col min="14089" max="14338" width="9.1796875" style="162" hidden="1"/>
    <col min="14339" max="14339" width="13.1796875" style="162" hidden="1"/>
    <col min="14340" max="14340" width="9.1796875" style="162" hidden="1"/>
    <col min="14341" max="14341" width="7.7265625" style="162" hidden="1"/>
    <col min="14342" max="14343" width="6" style="162" hidden="1"/>
    <col min="14344" max="14344" width="8.1796875" style="162" hidden="1"/>
    <col min="14345" max="14594" width="9.1796875" style="162" hidden="1"/>
    <col min="14595" max="14595" width="13.1796875" style="162" hidden="1"/>
    <col min="14596" max="14596" width="9.1796875" style="162" hidden="1"/>
    <col min="14597" max="14597" width="7.7265625" style="162" hidden="1"/>
    <col min="14598" max="14599" width="6" style="162" hidden="1"/>
    <col min="14600" max="14600" width="8.1796875" style="162" hidden="1"/>
    <col min="14601" max="14850" width="9.1796875" style="162" hidden="1"/>
    <col min="14851" max="14851" width="13.1796875" style="162" hidden="1"/>
    <col min="14852" max="14852" width="9.1796875" style="162" hidden="1"/>
    <col min="14853" max="14853" width="7.7265625" style="162" hidden="1"/>
    <col min="14854" max="14855" width="6" style="162" hidden="1"/>
    <col min="14856" max="14856" width="8.1796875" style="162" hidden="1"/>
    <col min="14857" max="15106" width="9.1796875" style="162" hidden="1"/>
    <col min="15107" max="15107" width="13.1796875" style="162" hidden="1"/>
    <col min="15108" max="15108" width="9.1796875" style="162" hidden="1"/>
    <col min="15109" max="15109" width="7.7265625" style="162" hidden="1"/>
    <col min="15110" max="15111" width="6" style="162" hidden="1"/>
    <col min="15112" max="15112" width="8.1796875" style="162" hidden="1"/>
    <col min="15113" max="15362" width="9.1796875" style="162" hidden="1"/>
    <col min="15363" max="15363" width="13.1796875" style="162" hidden="1"/>
    <col min="15364" max="15364" width="9.1796875" style="162" hidden="1"/>
    <col min="15365" max="15365" width="7.7265625" style="162" hidden="1"/>
    <col min="15366" max="15367" width="6" style="162" hidden="1"/>
    <col min="15368" max="15368" width="8.1796875" style="162" hidden="1"/>
    <col min="15369" max="15618" width="9.1796875" style="162" hidden="1"/>
    <col min="15619" max="15619" width="13.1796875" style="162" hidden="1"/>
    <col min="15620" max="15620" width="9.1796875" style="162" hidden="1"/>
    <col min="15621" max="15621" width="7.7265625" style="162" hidden="1"/>
    <col min="15622" max="15623" width="6" style="162" hidden="1"/>
    <col min="15624" max="15624" width="8.1796875" style="162" hidden="1"/>
    <col min="15625" max="15874" width="9.1796875" style="162" hidden="1"/>
    <col min="15875" max="15875" width="13.1796875" style="162" hidden="1"/>
    <col min="15876" max="15876" width="9.1796875" style="162" hidden="1"/>
    <col min="15877" max="15877" width="7.7265625" style="162" hidden="1"/>
    <col min="15878" max="15879" width="6" style="162" hidden="1"/>
    <col min="15880" max="15880" width="8.1796875" style="162" hidden="1"/>
    <col min="15881" max="16130" width="9.1796875" style="162" hidden="1"/>
    <col min="16131" max="16131" width="13.1796875" style="162" hidden="1"/>
    <col min="16132" max="16132" width="9.1796875" style="162" hidden="1"/>
    <col min="16133" max="16133" width="7.7265625" style="162" hidden="1"/>
    <col min="16134" max="16135" width="6" style="162" hidden="1"/>
    <col min="16136" max="16136" width="8.1796875" style="162" hidden="1"/>
    <col min="16137" max="16384" width="9.1796875" style="162" hidden="1"/>
  </cols>
  <sheetData>
    <row r="1" spans="1:10" s="153" customFormat="1" ht="13.5" customHeight="1" x14ac:dyDescent="0.5">
      <c r="H1" s="522" t="s">
        <v>192</v>
      </c>
      <c r="I1" s="522"/>
      <c r="J1" s="522"/>
    </row>
    <row r="2" spans="1:10" s="153" customFormat="1" ht="13.5" customHeight="1" x14ac:dyDescent="0.5">
      <c r="H2" s="522" t="s">
        <v>193</v>
      </c>
      <c r="I2" s="522"/>
      <c r="J2" s="522"/>
    </row>
    <row r="3" spans="1:10" s="153" customFormat="1" ht="13.5" customHeight="1" x14ac:dyDescent="0.5">
      <c r="H3" s="522" t="s">
        <v>194</v>
      </c>
      <c r="I3" s="522"/>
      <c r="J3" s="522"/>
    </row>
    <row r="4" spans="1:10" s="153" customFormat="1" ht="13.5" customHeight="1" x14ac:dyDescent="0.5">
      <c r="H4" s="522" t="s">
        <v>195</v>
      </c>
      <c r="I4" s="522"/>
      <c r="J4" s="522"/>
    </row>
    <row r="5" spans="1:10" s="153" customFormat="1" ht="17" x14ac:dyDescent="0.5">
      <c r="H5" s="154"/>
      <c r="I5" s="154"/>
      <c r="J5" s="154"/>
    </row>
    <row r="6" spans="1:10" s="155" customFormat="1" ht="18" x14ac:dyDescent="0.5">
      <c r="B6" s="523" t="s">
        <v>471</v>
      </c>
      <c r="C6" s="524"/>
      <c r="D6" s="525"/>
      <c r="F6" s="526" t="s">
        <v>196</v>
      </c>
      <c r="G6" s="526"/>
      <c r="H6" s="526"/>
      <c r="I6" s="526"/>
      <c r="J6" s="156"/>
    </row>
    <row r="7" spans="1:10" s="155" customFormat="1" ht="15.5" x14ac:dyDescent="0.45">
      <c r="B7" s="523"/>
      <c r="C7" s="524"/>
      <c r="D7" s="525"/>
      <c r="F7" s="527" t="s">
        <v>197</v>
      </c>
      <c r="G7" s="527"/>
      <c r="H7" s="531">
        <v>304587</v>
      </c>
      <c r="I7" s="531"/>
      <c r="J7" s="156"/>
    </row>
    <row r="8" spans="1:10" s="155" customFormat="1" ht="15.5" x14ac:dyDescent="0.45">
      <c r="B8" s="523"/>
      <c r="C8" s="524"/>
      <c r="D8" s="525"/>
      <c r="F8" s="527" t="s">
        <v>198</v>
      </c>
      <c r="G8" s="527"/>
      <c r="H8" s="529">
        <v>44978.475659722222</v>
      </c>
      <c r="I8" s="529"/>
    </row>
    <row r="9" spans="1:10" s="155" customFormat="1" ht="15.75" customHeight="1" x14ac:dyDescent="0.45">
      <c r="B9" s="523"/>
      <c r="C9" s="524"/>
      <c r="D9" s="525"/>
      <c r="E9" s="530" t="s">
        <v>230</v>
      </c>
      <c r="F9" s="527"/>
      <c r="G9" s="527"/>
      <c r="H9" s="168"/>
      <c r="I9" s="266" t="s">
        <v>469</v>
      </c>
    </row>
    <row r="10" spans="1:10" s="155" customFormat="1" ht="16" thickBot="1" x14ac:dyDescent="0.5">
      <c r="A10" s="157"/>
      <c r="B10" s="158"/>
      <c r="C10" s="158"/>
      <c r="D10" s="158"/>
      <c r="E10" s="157"/>
      <c r="F10" s="157"/>
      <c r="G10" s="157"/>
      <c r="H10" s="157"/>
      <c r="I10" s="157"/>
      <c r="J10" s="157"/>
    </row>
    <row r="11" spans="1:10" s="155" customFormat="1" ht="16" thickTop="1" x14ac:dyDescent="0.45">
      <c r="J11" s="274"/>
    </row>
    <row r="12" spans="1:10" s="155" customFormat="1" ht="15.5" x14ac:dyDescent="0.45">
      <c r="B12" s="159" t="s">
        <v>199</v>
      </c>
      <c r="C12" s="294" t="s">
        <v>473</v>
      </c>
      <c r="D12" s="294"/>
      <c r="E12" s="294"/>
    </row>
    <row r="13" spans="1:10" s="155" customFormat="1" ht="15.5" x14ac:dyDescent="0.45"/>
    <row r="14" spans="1:10" s="160" customFormat="1" ht="15.5" hidden="1" x14ac:dyDescent="0.35">
      <c r="B14" s="268" t="s">
        <v>153</v>
      </c>
      <c r="C14" s="268" t="s">
        <v>128</v>
      </c>
      <c r="D14" s="268" t="s">
        <v>328</v>
      </c>
      <c r="E14" s="268" t="s">
        <v>325</v>
      </c>
      <c r="F14" s="521" t="s">
        <v>325</v>
      </c>
      <c r="G14" s="521"/>
      <c r="H14" s="269"/>
      <c r="I14" s="268" t="s">
        <v>327</v>
      </c>
    </row>
    <row r="15" spans="1:10" s="160" customFormat="1" ht="15.5" hidden="1" x14ac:dyDescent="0.35">
      <c r="B15" s="286">
        <v>30</v>
      </c>
      <c r="C15" s="287" t="s">
        <v>325</v>
      </c>
      <c r="D15" s="289">
        <v>1737.9</v>
      </c>
      <c r="E15" s="270">
        <v>0</v>
      </c>
      <c r="F15" s="516">
        <v>0</v>
      </c>
      <c r="G15" s="516"/>
      <c r="H15" s="271"/>
      <c r="I15" s="270"/>
    </row>
    <row r="16" spans="1:10" s="160" customFormat="1" ht="15.5" hidden="1" x14ac:dyDescent="0.35">
      <c r="B16" s="286">
        <v>0</v>
      </c>
      <c r="C16" s="287" t="s">
        <v>325</v>
      </c>
      <c r="D16" s="289" t="e">
        <v>#DIV/0!</v>
      </c>
      <c r="E16" s="270">
        <v>0</v>
      </c>
      <c r="F16" s="516">
        <v>0</v>
      </c>
      <c r="G16" s="516"/>
      <c r="H16" s="271"/>
      <c r="I16" s="270"/>
    </row>
    <row r="17" spans="2:9" s="160" customFormat="1" ht="15.5" hidden="1" x14ac:dyDescent="0.35">
      <c r="B17" s="286">
        <v>0</v>
      </c>
      <c r="C17" s="287" t="s">
        <v>325</v>
      </c>
      <c r="D17" s="289" t="e">
        <v>#DIV/0!</v>
      </c>
      <c r="E17" s="270">
        <v>0</v>
      </c>
      <c r="F17" s="516">
        <v>0</v>
      </c>
      <c r="G17" s="516"/>
      <c r="H17" s="271"/>
      <c r="I17" s="270"/>
    </row>
    <row r="18" spans="2:9" s="160" customFormat="1" ht="15.5" hidden="1" x14ac:dyDescent="0.35">
      <c r="B18" s="286">
        <v>0</v>
      </c>
      <c r="C18" s="288" t="s">
        <v>325</v>
      </c>
      <c r="D18" s="289" t="e">
        <v>#DIV/0!</v>
      </c>
      <c r="E18" s="270">
        <v>0</v>
      </c>
      <c r="F18" s="516">
        <v>0</v>
      </c>
      <c r="G18" s="516"/>
      <c r="H18" s="271"/>
      <c r="I18" s="270"/>
    </row>
    <row r="19" spans="2:9" s="160" customFormat="1" ht="15.5" hidden="1" x14ac:dyDescent="0.35">
      <c r="B19" s="286">
        <v>0</v>
      </c>
      <c r="C19" s="287" t="s">
        <v>325</v>
      </c>
      <c r="D19" s="289" t="e">
        <v>#DIV/0!</v>
      </c>
      <c r="E19" s="270">
        <v>0</v>
      </c>
      <c r="F19" s="516">
        <v>0</v>
      </c>
      <c r="G19" s="516"/>
      <c r="H19" s="271"/>
      <c r="I19" s="270"/>
    </row>
    <row r="20" spans="2:9" s="160" customFormat="1" ht="15.5" hidden="1" x14ac:dyDescent="0.35">
      <c r="B20" s="286">
        <v>0</v>
      </c>
      <c r="C20" s="287" t="s">
        <v>325</v>
      </c>
      <c r="D20" s="289" t="e">
        <v>#DIV/0!</v>
      </c>
      <c r="E20" s="270">
        <v>0</v>
      </c>
      <c r="F20" s="516">
        <v>0</v>
      </c>
      <c r="G20" s="516"/>
      <c r="H20" s="271"/>
      <c r="I20" s="270"/>
    </row>
    <row r="21" spans="2:9" s="160" customFormat="1" ht="15.5" hidden="1" x14ac:dyDescent="0.35">
      <c r="B21" s="286">
        <v>0</v>
      </c>
      <c r="C21" s="287" t="s">
        <v>325</v>
      </c>
      <c r="D21" s="289" t="e">
        <v>#DIV/0!</v>
      </c>
      <c r="E21" s="270">
        <v>0</v>
      </c>
      <c r="F21" s="516">
        <v>0</v>
      </c>
      <c r="G21" s="516"/>
      <c r="H21" s="271"/>
      <c r="I21" s="270"/>
    </row>
    <row r="22" spans="2:9" s="160" customFormat="1" ht="15.5" hidden="1" x14ac:dyDescent="0.35">
      <c r="B22" s="286">
        <v>0</v>
      </c>
      <c r="C22" s="287" t="s">
        <v>325</v>
      </c>
      <c r="D22" s="289" t="e">
        <v>#DIV/0!</v>
      </c>
      <c r="E22" s="270">
        <v>0</v>
      </c>
      <c r="F22" s="516">
        <v>0</v>
      </c>
      <c r="G22" s="516"/>
      <c r="H22" s="271"/>
      <c r="I22" s="270"/>
    </row>
    <row r="23" spans="2:9" s="160" customFormat="1" ht="15" hidden="1" customHeight="1" x14ac:dyDescent="0.35">
      <c r="B23" s="268" t="s">
        <v>152</v>
      </c>
      <c r="C23" s="268" t="s">
        <v>128</v>
      </c>
      <c r="D23" s="268" t="s">
        <v>328</v>
      </c>
      <c r="E23" s="268" t="s">
        <v>325</v>
      </c>
      <c r="F23" s="521" t="s">
        <v>325</v>
      </c>
      <c r="G23" s="521"/>
      <c r="H23" s="272"/>
      <c r="I23" s="273" t="s">
        <v>327</v>
      </c>
    </row>
    <row r="24" spans="2:9" s="160" customFormat="1" ht="15" hidden="1" customHeight="1" x14ac:dyDescent="0.35">
      <c r="B24" s="286">
        <v>30</v>
      </c>
      <c r="C24" s="287" t="s">
        <v>325</v>
      </c>
      <c r="D24" s="289">
        <v>1648.8</v>
      </c>
      <c r="E24" s="270">
        <v>0</v>
      </c>
      <c r="F24" s="516">
        <v>0</v>
      </c>
      <c r="G24" s="516"/>
      <c r="H24" s="271"/>
      <c r="I24" s="270"/>
    </row>
    <row r="25" spans="2:9" s="160" customFormat="1" ht="15" hidden="1" customHeight="1" x14ac:dyDescent="0.35">
      <c r="B25" s="286">
        <v>0</v>
      </c>
      <c r="C25" s="287" t="s">
        <v>325</v>
      </c>
      <c r="D25" s="289" t="e">
        <v>#DIV/0!</v>
      </c>
      <c r="E25" s="270">
        <v>0</v>
      </c>
      <c r="F25" s="516">
        <v>0</v>
      </c>
      <c r="G25" s="516"/>
      <c r="H25" s="271"/>
      <c r="I25" s="270"/>
    </row>
    <row r="26" spans="2:9" s="160" customFormat="1" ht="15" hidden="1" customHeight="1" x14ac:dyDescent="0.35">
      <c r="B26" s="286">
        <v>0</v>
      </c>
      <c r="C26" s="287" t="s">
        <v>325</v>
      </c>
      <c r="D26" s="289" t="e">
        <v>#DIV/0!</v>
      </c>
      <c r="E26" s="270">
        <v>0</v>
      </c>
      <c r="F26" s="516">
        <v>0</v>
      </c>
      <c r="G26" s="516"/>
      <c r="H26" s="271"/>
      <c r="I26" s="270"/>
    </row>
    <row r="27" spans="2:9" s="160" customFormat="1" ht="15" hidden="1" customHeight="1" x14ac:dyDescent="0.35">
      <c r="B27" s="286">
        <v>0</v>
      </c>
      <c r="C27" s="287" t="s">
        <v>325</v>
      </c>
      <c r="D27" s="289" t="e">
        <v>#DIV/0!</v>
      </c>
      <c r="E27" s="270">
        <v>0</v>
      </c>
      <c r="F27" s="516">
        <v>0</v>
      </c>
      <c r="G27" s="516"/>
      <c r="H27" s="271"/>
      <c r="I27" s="270"/>
    </row>
    <row r="28" spans="2:9" s="160" customFormat="1" ht="15" hidden="1" customHeight="1" x14ac:dyDescent="0.35">
      <c r="B28" s="286">
        <v>0</v>
      </c>
      <c r="C28" s="287" t="s">
        <v>325</v>
      </c>
      <c r="D28" s="289" t="e">
        <v>#DIV/0!</v>
      </c>
      <c r="E28" s="270">
        <v>0</v>
      </c>
      <c r="F28" s="516">
        <v>0</v>
      </c>
      <c r="G28" s="516"/>
      <c r="H28" s="271"/>
      <c r="I28" s="270"/>
    </row>
    <row r="29" spans="2:9" s="160" customFormat="1" ht="15.5" hidden="1" x14ac:dyDescent="0.35">
      <c r="B29" s="286">
        <v>0</v>
      </c>
      <c r="C29" s="287" t="s">
        <v>325</v>
      </c>
      <c r="D29" s="289" t="e">
        <v>#DIV/0!</v>
      </c>
      <c r="E29" s="270">
        <v>0</v>
      </c>
      <c r="F29" s="516">
        <v>0</v>
      </c>
      <c r="G29" s="516"/>
      <c r="H29" s="271"/>
      <c r="I29" s="270"/>
    </row>
    <row r="30" spans="2:9" s="160" customFormat="1" ht="15.5" hidden="1" x14ac:dyDescent="0.35">
      <c r="B30" s="286">
        <v>0</v>
      </c>
      <c r="C30" s="287" t="s">
        <v>325</v>
      </c>
      <c r="D30" s="289" t="e">
        <v>#DIV/0!</v>
      </c>
      <c r="E30" s="270">
        <v>0</v>
      </c>
      <c r="F30" s="516">
        <v>0</v>
      </c>
      <c r="G30" s="516"/>
      <c r="H30" s="271"/>
      <c r="I30" s="270"/>
    </row>
    <row r="31" spans="2:9" s="160" customFormat="1" ht="15.5" hidden="1" x14ac:dyDescent="0.35">
      <c r="B31" s="286">
        <v>0</v>
      </c>
      <c r="C31" s="287" t="s">
        <v>325</v>
      </c>
      <c r="D31" s="289" t="e">
        <v>#DIV/0!</v>
      </c>
      <c r="E31" s="270">
        <v>0</v>
      </c>
      <c r="F31" s="516">
        <v>0</v>
      </c>
      <c r="G31" s="516"/>
      <c r="H31" s="271"/>
      <c r="I31" s="270"/>
    </row>
    <row r="32" spans="2:9" s="161" customFormat="1" ht="15" hidden="1" customHeight="1" x14ac:dyDescent="0.35">
      <c r="B32" s="268" t="s">
        <v>151</v>
      </c>
      <c r="C32" s="268" t="s">
        <v>128</v>
      </c>
      <c r="D32" s="268" t="s">
        <v>328</v>
      </c>
      <c r="E32" s="268" t="s">
        <v>325</v>
      </c>
      <c r="F32" s="521" t="s">
        <v>325</v>
      </c>
      <c r="G32" s="521"/>
      <c r="H32" s="272"/>
      <c r="I32" s="273" t="s">
        <v>327</v>
      </c>
    </row>
    <row r="33" spans="2:9" s="160" customFormat="1" ht="15.5" hidden="1" x14ac:dyDescent="0.35">
      <c r="B33" s="286">
        <v>30</v>
      </c>
      <c r="C33" s="287" t="s">
        <v>325</v>
      </c>
      <c r="D33" s="289">
        <v>1514.7</v>
      </c>
      <c r="E33" s="270">
        <v>0</v>
      </c>
      <c r="F33" s="516">
        <v>0</v>
      </c>
      <c r="G33" s="516"/>
      <c r="H33" s="271"/>
      <c r="I33" s="270"/>
    </row>
    <row r="34" spans="2:9" s="160" customFormat="1" ht="15.5" hidden="1" x14ac:dyDescent="0.35">
      <c r="B34" s="286">
        <v>0</v>
      </c>
      <c r="C34" s="287" t="s">
        <v>325</v>
      </c>
      <c r="D34" s="289" t="e">
        <v>#DIV/0!</v>
      </c>
      <c r="E34" s="270">
        <v>0</v>
      </c>
      <c r="F34" s="516">
        <v>0</v>
      </c>
      <c r="G34" s="516"/>
      <c r="H34" s="271"/>
      <c r="I34" s="270"/>
    </row>
    <row r="35" spans="2:9" s="160" customFormat="1" ht="15.5" hidden="1" x14ac:dyDescent="0.35">
      <c r="B35" s="286">
        <v>0</v>
      </c>
      <c r="C35" s="287" t="s">
        <v>325</v>
      </c>
      <c r="D35" s="289" t="e">
        <v>#DIV/0!</v>
      </c>
      <c r="E35" s="270">
        <v>0</v>
      </c>
      <c r="F35" s="516">
        <v>0</v>
      </c>
      <c r="G35" s="516"/>
      <c r="H35" s="271"/>
      <c r="I35" s="270"/>
    </row>
    <row r="36" spans="2:9" s="160" customFormat="1" ht="15.5" hidden="1" x14ac:dyDescent="0.35">
      <c r="B36" s="286">
        <v>0</v>
      </c>
      <c r="C36" s="287" t="s">
        <v>325</v>
      </c>
      <c r="D36" s="289" t="e">
        <v>#DIV/0!</v>
      </c>
      <c r="E36" s="270">
        <v>0</v>
      </c>
      <c r="F36" s="516">
        <v>0</v>
      </c>
      <c r="G36" s="516"/>
      <c r="H36" s="271"/>
      <c r="I36" s="270"/>
    </row>
    <row r="37" spans="2:9" s="160" customFormat="1" ht="15.5" hidden="1" x14ac:dyDescent="0.35">
      <c r="B37" s="286">
        <v>0</v>
      </c>
      <c r="C37" s="287" t="s">
        <v>325</v>
      </c>
      <c r="D37" s="289" t="e">
        <v>#DIV/0!</v>
      </c>
      <c r="E37" s="270">
        <v>0</v>
      </c>
      <c r="F37" s="516">
        <v>0</v>
      </c>
      <c r="G37" s="516"/>
      <c r="H37" s="271"/>
      <c r="I37" s="270"/>
    </row>
    <row r="38" spans="2:9" s="160" customFormat="1" ht="15.5" hidden="1" x14ac:dyDescent="0.35">
      <c r="B38" s="286">
        <v>0</v>
      </c>
      <c r="C38" s="287" t="s">
        <v>325</v>
      </c>
      <c r="D38" s="289" t="e">
        <v>#DIV/0!</v>
      </c>
      <c r="E38" s="270">
        <v>0</v>
      </c>
      <c r="F38" s="516">
        <v>0</v>
      </c>
      <c r="G38" s="516"/>
      <c r="H38" s="271"/>
      <c r="I38" s="270"/>
    </row>
    <row r="39" spans="2:9" s="160" customFormat="1" ht="15.5" hidden="1" x14ac:dyDescent="0.35">
      <c r="B39" s="286">
        <v>0</v>
      </c>
      <c r="C39" s="287" t="s">
        <v>325</v>
      </c>
      <c r="D39" s="289" t="e">
        <v>#DIV/0!</v>
      </c>
      <c r="E39" s="270">
        <v>0</v>
      </c>
      <c r="F39" s="516">
        <v>0</v>
      </c>
      <c r="G39" s="516"/>
      <c r="H39" s="271"/>
      <c r="I39" s="270"/>
    </row>
    <row r="40" spans="2:9" s="160" customFormat="1" ht="15.5" hidden="1" x14ac:dyDescent="0.35">
      <c r="B40" s="286">
        <v>0</v>
      </c>
      <c r="C40" s="287" t="s">
        <v>325</v>
      </c>
      <c r="D40" s="289" t="e">
        <v>#DIV/0!</v>
      </c>
      <c r="E40" s="270">
        <v>0</v>
      </c>
      <c r="F40" s="516">
        <v>0</v>
      </c>
      <c r="G40" s="516"/>
      <c r="H40" s="271"/>
      <c r="I40" s="270"/>
    </row>
    <row r="41" spans="2:9" s="161" customFormat="1" ht="15" customHeight="1" x14ac:dyDescent="0.35">
      <c r="B41" s="268" t="s">
        <v>150</v>
      </c>
      <c r="C41" s="268"/>
      <c r="D41" s="268" t="s">
        <v>328</v>
      </c>
      <c r="E41" s="268" t="s">
        <v>325</v>
      </c>
      <c r="F41" s="521" t="s">
        <v>325</v>
      </c>
      <c r="G41" s="521"/>
      <c r="H41" s="272"/>
      <c r="I41" s="273" t="s">
        <v>327</v>
      </c>
    </row>
    <row r="42" spans="2:9" s="160" customFormat="1" ht="15.5" x14ac:dyDescent="0.35">
      <c r="B42" s="286">
        <v>30</v>
      </c>
      <c r="C42" s="287" t="s">
        <v>325</v>
      </c>
      <c r="D42" s="289">
        <v>1112.7</v>
      </c>
      <c r="E42" s="270">
        <v>0</v>
      </c>
      <c r="F42" s="516">
        <v>0</v>
      </c>
      <c r="G42" s="516"/>
      <c r="H42" s="271"/>
      <c r="I42" s="270"/>
    </row>
    <row r="43" spans="2:9" s="160" customFormat="1" ht="15.5" hidden="1" x14ac:dyDescent="0.35">
      <c r="B43" s="286">
        <v>0</v>
      </c>
      <c r="C43" s="287" t="s">
        <v>325</v>
      </c>
      <c r="D43" s="289" t="e">
        <v>#DIV/0!</v>
      </c>
      <c r="E43" s="270">
        <v>0</v>
      </c>
      <c r="F43" s="516">
        <v>0</v>
      </c>
      <c r="G43" s="516"/>
      <c r="H43" s="271"/>
      <c r="I43" s="270"/>
    </row>
    <row r="44" spans="2:9" s="160" customFormat="1" ht="15.5" hidden="1" x14ac:dyDescent="0.35">
      <c r="B44" s="286">
        <v>0</v>
      </c>
      <c r="C44" s="287" t="s">
        <v>325</v>
      </c>
      <c r="D44" s="289" t="e">
        <v>#DIV/0!</v>
      </c>
      <c r="E44" s="270">
        <v>0</v>
      </c>
      <c r="F44" s="516">
        <v>0</v>
      </c>
      <c r="G44" s="516"/>
      <c r="H44" s="271"/>
      <c r="I44" s="270"/>
    </row>
    <row r="45" spans="2:9" s="160" customFormat="1" ht="15.5" hidden="1" x14ac:dyDescent="0.35">
      <c r="B45" s="286">
        <v>0</v>
      </c>
      <c r="C45" s="287" t="s">
        <v>325</v>
      </c>
      <c r="D45" s="289" t="e">
        <v>#DIV/0!</v>
      </c>
      <c r="E45" s="270">
        <v>0</v>
      </c>
      <c r="F45" s="516">
        <v>0</v>
      </c>
      <c r="G45" s="516"/>
      <c r="H45" s="271"/>
      <c r="I45" s="270"/>
    </row>
    <row r="46" spans="2:9" s="160" customFormat="1" ht="15.5" hidden="1" x14ac:dyDescent="0.35">
      <c r="B46" s="286">
        <v>0</v>
      </c>
      <c r="C46" s="287" t="s">
        <v>325</v>
      </c>
      <c r="D46" s="289" t="e">
        <v>#DIV/0!</v>
      </c>
      <c r="E46" s="270">
        <v>0</v>
      </c>
      <c r="F46" s="516">
        <v>0</v>
      </c>
      <c r="G46" s="516"/>
      <c r="H46" s="271"/>
      <c r="I46" s="270"/>
    </row>
    <row r="47" spans="2:9" s="160" customFormat="1" ht="15.5" hidden="1" x14ac:dyDescent="0.35">
      <c r="B47" s="286">
        <v>0</v>
      </c>
      <c r="C47" s="287" t="s">
        <v>325</v>
      </c>
      <c r="D47" s="289" t="e">
        <v>#DIV/0!</v>
      </c>
      <c r="E47" s="270">
        <v>0</v>
      </c>
      <c r="F47" s="516">
        <v>0</v>
      </c>
      <c r="G47" s="516"/>
      <c r="H47" s="271"/>
      <c r="I47" s="270"/>
    </row>
    <row r="48" spans="2:9" s="160" customFormat="1" ht="15.5" hidden="1" x14ac:dyDescent="0.35">
      <c r="B48" s="286">
        <v>0</v>
      </c>
      <c r="C48" s="287" t="s">
        <v>325</v>
      </c>
      <c r="D48" s="289" t="e">
        <v>#DIV/0!</v>
      </c>
      <c r="E48" s="270">
        <v>0</v>
      </c>
      <c r="F48" s="516">
        <v>0</v>
      </c>
      <c r="G48" s="516"/>
      <c r="H48" s="271"/>
      <c r="I48" s="270"/>
    </row>
    <row r="49" spans="1:9" s="160" customFormat="1" ht="15.5" hidden="1" x14ac:dyDescent="0.35">
      <c r="B49" s="286">
        <v>0</v>
      </c>
      <c r="C49" s="287" t="s">
        <v>325</v>
      </c>
      <c r="D49" s="289" t="e">
        <v>#DIV/0!</v>
      </c>
      <c r="E49" s="270">
        <v>0</v>
      </c>
      <c r="F49" s="516">
        <v>0</v>
      </c>
      <c r="G49" s="516"/>
      <c r="H49" s="271"/>
      <c r="I49" s="270"/>
    </row>
    <row r="50" spans="1:9" s="153" customFormat="1" ht="17" x14ac:dyDescent="0.5"/>
    <row r="51" spans="1:9" ht="14.5" x14ac:dyDescent="0.45">
      <c r="A51" s="518" t="s">
        <v>200</v>
      </c>
      <c r="B51" s="518"/>
      <c r="C51" s="518"/>
      <c r="F51" s="518" t="s">
        <v>38</v>
      </c>
      <c r="G51" s="518"/>
      <c r="H51" s="518"/>
      <c r="I51" s="518"/>
    </row>
    <row r="52" spans="1:9" ht="13" x14ac:dyDescent="0.4">
      <c r="B52" s="163" t="s">
        <v>201</v>
      </c>
      <c r="C52" s="267" t="s">
        <v>55</v>
      </c>
      <c r="D52" s="177"/>
      <c r="E52" s="177"/>
      <c r="F52" s="519" t="s">
        <v>474</v>
      </c>
      <c r="G52" s="519"/>
      <c r="H52" s="519"/>
      <c r="I52" s="519"/>
    </row>
    <row r="53" spans="1:9" ht="13" x14ac:dyDescent="0.4">
      <c r="B53" s="163" t="s">
        <v>202</v>
      </c>
      <c r="C53" s="267" t="s">
        <v>310</v>
      </c>
      <c r="D53" s="177"/>
      <c r="E53" s="177"/>
      <c r="F53" s="519"/>
      <c r="G53" s="519"/>
      <c r="H53" s="519"/>
      <c r="I53" s="519"/>
    </row>
    <row r="54" spans="1:9" ht="13" x14ac:dyDescent="0.4">
      <c r="B54" s="163" t="s">
        <v>203</v>
      </c>
      <c r="C54" s="267" t="s">
        <v>307</v>
      </c>
      <c r="D54" s="177"/>
      <c r="E54" s="177"/>
      <c r="F54" s="519"/>
      <c r="G54" s="519"/>
      <c r="H54" s="519"/>
      <c r="I54" s="519"/>
    </row>
    <row r="55" spans="1:9" ht="13" x14ac:dyDescent="0.4">
      <c r="B55" s="163" t="s">
        <v>204</v>
      </c>
      <c r="C55" s="267" t="s">
        <v>74</v>
      </c>
      <c r="D55" s="177"/>
      <c r="E55" s="177"/>
    </row>
    <row r="56" spans="1:9" ht="14.5" x14ac:dyDescent="0.45">
      <c r="B56" s="163" t="s">
        <v>330</v>
      </c>
      <c r="C56" s="267" t="s">
        <v>475</v>
      </c>
      <c r="D56" s="177"/>
      <c r="E56" s="177"/>
      <c r="F56" s="518" t="s">
        <v>36</v>
      </c>
      <c r="G56" s="518"/>
      <c r="H56" s="518"/>
      <c r="I56" s="518"/>
    </row>
    <row r="57" spans="1:9" ht="12.75" customHeight="1" x14ac:dyDescent="0.4">
      <c r="B57" s="163"/>
      <c r="C57" s="267" t="s">
        <v>476</v>
      </c>
      <c r="D57" s="177"/>
      <c r="E57" s="177"/>
      <c r="F57" s="520" t="s">
        <v>477</v>
      </c>
      <c r="G57" s="520"/>
      <c r="H57" s="520"/>
      <c r="I57" s="520"/>
    </row>
    <row r="58" spans="1:9" ht="13" x14ac:dyDescent="0.4">
      <c r="B58" s="163" t="s">
        <v>325</v>
      </c>
      <c r="C58" s="267" t="s">
        <v>325</v>
      </c>
      <c r="D58" s="177"/>
      <c r="E58" s="177"/>
      <c r="F58" s="520"/>
      <c r="G58" s="520"/>
      <c r="H58" s="520"/>
      <c r="I58" s="520"/>
    </row>
    <row r="59" spans="1:9" ht="13" x14ac:dyDescent="0.4">
      <c r="B59" s="184"/>
      <c r="D59" s="177"/>
      <c r="E59" s="177"/>
      <c r="F59" s="520"/>
      <c r="G59" s="520"/>
      <c r="H59" s="520"/>
      <c r="I59" s="520"/>
    </row>
    <row r="60" spans="1:9" ht="14.5" x14ac:dyDescent="0.45">
      <c r="B60" s="518" t="s">
        <v>146</v>
      </c>
      <c r="C60" s="518"/>
      <c r="D60" s="177"/>
      <c r="F60" s="520"/>
      <c r="G60" s="520"/>
      <c r="H60" s="520"/>
      <c r="I60" s="520"/>
    </row>
    <row r="61" spans="1:9" ht="14.25" customHeight="1" x14ac:dyDescent="0.4">
      <c r="B61" s="517">
        <v>0</v>
      </c>
      <c r="C61" s="517"/>
      <c r="D61" s="517"/>
      <c r="F61" s="293"/>
      <c r="G61" s="293"/>
      <c r="H61" s="293"/>
      <c r="I61" s="293"/>
    </row>
    <row r="62" spans="1:9" ht="12.75" customHeight="1" x14ac:dyDescent="0.45">
      <c r="B62" s="517"/>
      <c r="C62" s="517"/>
      <c r="D62" s="517"/>
      <c r="F62" s="518" t="s">
        <v>40</v>
      </c>
      <c r="G62" s="518"/>
      <c r="H62" s="518"/>
      <c r="I62" s="518"/>
    </row>
    <row r="63" spans="1:9" ht="13" x14ac:dyDescent="0.4">
      <c r="B63" s="517"/>
      <c r="C63" s="517"/>
      <c r="D63" s="517"/>
      <c r="F63" s="519" t="s">
        <v>478</v>
      </c>
      <c r="G63" s="519"/>
      <c r="H63" s="519"/>
      <c r="I63" s="519"/>
    </row>
    <row r="64" spans="1:9" ht="12.75" customHeight="1" x14ac:dyDescent="0.4">
      <c r="B64" s="517"/>
      <c r="C64" s="517"/>
      <c r="D64" s="517"/>
      <c r="F64" s="519"/>
      <c r="G64" s="519"/>
      <c r="H64" s="519"/>
      <c r="I64" s="519"/>
    </row>
    <row r="65" spans="1:10" ht="13.5" customHeight="1" x14ac:dyDescent="0.4">
      <c r="B65" s="517"/>
      <c r="C65" s="517"/>
      <c r="D65" s="517"/>
      <c r="F65" s="519"/>
      <c r="G65" s="519"/>
      <c r="H65" s="519"/>
      <c r="I65" s="519"/>
    </row>
    <row r="66" spans="1:10" ht="13" x14ac:dyDescent="0.4">
      <c r="B66" s="517"/>
      <c r="C66" s="517"/>
      <c r="D66" s="517"/>
      <c r="F66" s="292"/>
      <c r="G66" s="292"/>
      <c r="H66" s="292"/>
      <c r="I66" s="292"/>
    </row>
    <row r="67" spans="1:10" ht="14.5" thickBot="1" x14ac:dyDescent="0.45">
      <c r="A67" s="164"/>
      <c r="B67" s="164"/>
      <c r="C67" s="164"/>
      <c r="D67" s="164"/>
      <c r="E67" s="164"/>
      <c r="F67" s="178"/>
      <c r="G67" s="178"/>
      <c r="H67" s="178"/>
      <c r="I67" s="178"/>
      <c r="J67" s="275" t="s">
        <v>468</v>
      </c>
    </row>
    <row r="68" spans="1:10" ht="15.75" customHeight="1" thickTop="1" x14ac:dyDescent="0.4">
      <c r="A68" s="514" t="s">
        <v>389</v>
      </c>
      <c r="B68" s="514"/>
      <c r="C68" s="514"/>
      <c r="D68" s="514"/>
      <c r="E68" s="514"/>
      <c r="F68" s="514"/>
      <c r="G68" s="514"/>
      <c r="H68" s="514"/>
      <c r="I68" s="514"/>
      <c r="J68" s="514"/>
    </row>
    <row r="69" spans="1:10" ht="15.75" customHeight="1" x14ac:dyDescent="0.4">
      <c r="A69" s="515"/>
      <c r="B69" s="515"/>
      <c r="C69" s="515"/>
      <c r="D69" s="515"/>
      <c r="E69" s="515"/>
      <c r="F69" s="515"/>
      <c r="G69" s="515"/>
      <c r="H69" s="515"/>
      <c r="I69" s="515"/>
      <c r="J69" s="515"/>
    </row>
    <row r="70" spans="1:10" ht="15.75" customHeight="1" x14ac:dyDescent="0.4">
      <c r="A70" s="515"/>
      <c r="B70" s="515"/>
      <c r="C70" s="515"/>
      <c r="D70" s="515"/>
      <c r="E70" s="515"/>
      <c r="F70" s="515"/>
      <c r="G70" s="515"/>
      <c r="H70" s="515"/>
      <c r="I70" s="515"/>
      <c r="J70" s="515"/>
    </row>
    <row r="71" spans="1:10" ht="409.5" hidden="1" x14ac:dyDescent="0.4">
      <c r="A71" s="184" t="s">
        <v>472</v>
      </c>
    </row>
    <row r="73" spans="1:10" ht="13" hidden="1" x14ac:dyDescent="0.4">
      <c r="A73" s="284" t="s">
        <v>329</v>
      </c>
    </row>
  </sheetData>
  <sheetProtection selectLockedCells="1"/>
  <mergeCells count="57">
    <mergeCell ref="B61:D66"/>
    <mergeCell ref="F62:I62"/>
    <mergeCell ref="F63:I65"/>
    <mergeCell ref="A68:J70"/>
    <mergeCell ref="F49:G49"/>
    <mergeCell ref="A51:C51"/>
    <mergeCell ref="F51:I51"/>
    <mergeCell ref="F52:I54"/>
    <mergeCell ref="F56:I56"/>
    <mergeCell ref="F57:I60"/>
    <mergeCell ref="B60:C60"/>
    <mergeCell ref="F48:G48"/>
    <mergeCell ref="F37:G37"/>
    <mergeCell ref="F38:G38"/>
    <mergeCell ref="F39:G39"/>
    <mergeCell ref="F40:G40"/>
    <mergeCell ref="F41:G41"/>
    <mergeCell ref="F42:G42"/>
    <mergeCell ref="F43:G43"/>
    <mergeCell ref="F44:G44"/>
    <mergeCell ref="F45:G45"/>
    <mergeCell ref="F46:G46"/>
    <mergeCell ref="F47:G47"/>
    <mergeCell ref="F36:G36"/>
    <mergeCell ref="F25:G25"/>
    <mergeCell ref="F26:G26"/>
    <mergeCell ref="F27:G27"/>
    <mergeCell ref="F28:G28"/>
    <mergeCell ref="F29:G29"/>
    <mergeCell ref="F30:G30"/>
    <mergeCell ref="F31:G31"/>
    <mergeCell ref="F32:G32"/>
    <mergeCell ref="F33:G33"/>
    <mergeCell ref="F34:G34"/>
    <mergeCell ref="F35:G35"/>
    <mergeCell ref="F24:G24"/>
    <mergeCell ref="E9:G9"/>
    <mergeCell ref="F14:G14"/>
    <mergeCell ref="F15:G15"/>
    <mergeCell ref="F16:G16"/>
    <mergeCell ref="F17:G17"/>
    <mergeCell ref="F18:G18"/>
    <mergeCell ref="F19:G19"/>
    <mergeCell ref="F20:G20"/>
    <mergeCell ref="F21:G21"/>
    <mergeCell ref="F22:G22"/>
    <mergeCell ref="F23:G23"/>
    <mergeCell ref="H1:J1"/>
    <mergeCell ref="H2:J2"/>
    <mergeCell ref="H3:J3"/>
    <mergeCell ref="H4:J4"/>
    <mergeCell ref="B6:D9"/>
    <mergeCell ref="F6:I6"/>
    <mergeCell ref="F7:G7"/>
    <mergeCell ref="H7:I7"/>
    <mergeCell ref="F8:G8"/>
    <mergeCell ref="H8:I8"/>
  </mergeCells>
  <printOptions horizontalCentered="1"/>
  <pageMargins left="0.7" right="0.7" top="0.75" bottom="0.75" header="0.3" footer="0.3"/>
  <pageSetup scale="54" orientation="portrait" r:id="rId1"/>
  <headerFooter alignWithMargins="0"/>
  <drawing r:id="rId2"/>
  <legacyDrawing r:id="rId3"/>
  <controls>
    <mc:AlternateContent xmlns:mc="http://schemas.openxmlformats.org/markup-compatibility/2006">
      <mc:Choice Requires="x14">
        <control shapeId="38916" r:id="rId4" name="CommandButton4">
          <controlPr defaultSize="0" print="0" autoLine="0" r:id="rId5">
            <anchor moveWithCells="1">
              <from>
                <xdr:col>8</xdr:col>
                <xdr:colOff>831850</xdr:colOff>
                <xdr:row>5</xdr:row>
                <xdr:rowOff>209550</xdr:rowOff>
              </from>
              <to>
                <xdr:col>9</xdr:col>
                <xdr:colOff>330200</xdr:colOff>
                <xdr:row>7</xdr:row>
                <xdr:rowOff>38100</xdr:rowOff>
              </to>
            </anchor>
          </controlPr>
        </control>
      </mc:Choice>
      <mc:Fallback>
        <control shapeId="38916" r:id="rId4" name="CommandButton4"/>
      </mc:Fallback>
    </mc:AlternateContent>
    <mc:AlternateContent xmlns:mc="http://schemas.openxmlformats.org/markup-compatibility/2006">
      <mc:Choice Requires="x14">
        <control shapeId="38915" r:id="rId6" name="CommandButton3">
          <controlPr defaultSize="0" print="0" autoLine="0" r:id="rId7">
            <anchor moveWithCells="1">
              <from>
                <xdr:col>3</xdr:col>
                <xdr:colOff>146050</xdr:colOff>
                <xdr:row>67</xdr:row>
                <xdr:rowOff>152400</xdr:rowOff>
              </from>
              <to>
                <xdr:col>5</xdr:col>
                <xdr:colOff>317500</xdr:colOff>
                <xdr:row>69</xdr:row>
                <xdr:rowOff>31750</xdr:rowOff>
              </to>
            </anchor>
          </controlPr>
        </control>
      </mc:Choice>
      <mc:Fallback>
        <control shapeId="38915" r:id="rId6" name="CommandButton3"/>
      </mc:Fallback>
    </mc:AlternateContent>
    <mc:AlternateContent xmlns:mc="http://schemas.openxmlformats.org/markup-compatibility/2006">
      <mc:Choice Requires="x14">
        <control shapeId="38914" r:id="rId8" name="CommandButton2">
          <controlPr defaultSize="0" print="0" autoLine="0" r:id="rId9">
            <anchor moveWithCells="1">
              <from>
                <xdr:col>8</xdr:col>
                <xdr:colOff>114300</xdr:colOff>
                <xdr:row>67</xdr:row>
                <xdr:rowOff>152400</xdr:rowOff>
              </from>
              <to>
                <xdr:col>9</xdr:col>
                <xdr:colOff>298450</xdr:colOff>
                <xdr:row>69</xdr:row>
                <xdr:rowOff>31750</xdr:rowOff>
              </to>
            </anchor>
          </controlPr>
        </control>
      </mc:Choice>
      <mc:Fallback>
        <control shapeId="38914" r:id="rId8" name="CommandButton2"/>
      </mc:Fallback>
    </mc:AlternateContent>
    <mc:AlternateContent xmlns:mc="http://schemas.openxmlformats.org/markup-compatibility/2006">
      <mc:Choice Requires="x14">
        <control shapeId="38913" r:id="rId10" name="CommandButton1">
          <controlPr defaultSize="0" print="0" autoLine="0" r:id="rId11">
            <anchor moveWithCells="1">
              <from>
                <xdr:col>0</xdr:col>
                <xdr:colOff>190500</xdr:colOff>
                <xdr:row>67</xdr:row>
                <xdr:rowOff>152400</xdr:rowOff>
              </from>
              <to>
                <xdr:col>2</xdr:col>
                <xdr:colOff>406400</xdr:colOff>
                <xdr:row>69</xdr:row>
                <xdr:rowOff>31750</xdr:rowOff>
              </to>
            </anchor>
          </controlPr>
        </control>
      </mc:Choice>
      <mc:Fallback>
        <control shapeId="38913" r:id="rId10"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theme="9" tint="0.79998168889431442"/>
    <pageSetUpPr fitToPage="1"/>
  </sheetPr>
  <dimension ref="B1:AC59"/>
  <sheetViews>
    <sheetView workbookViewId="0">
      <selection activeCell="G35" sqref="G35"/>
    </sheetView>
  </sheetViews>
  <sheetFormatPr defaultRowHeight="12.5" x14ac:dyDescent="0.35"/>
  <cols>
    <col min="1" max="1" width="16.453125" style="251" customWidth="1"/>
    <col min="2" max="3" width="9.1796875" style="251"/>
    <col min="4" max="4" width="13" style="251" customWidth="1"/>
    <col min="5" max="10" width="5.7265625" style="251" customWidth="1"/>
    <col min="11" max="11" width="10" style="167" customWidth="1"/>
    <col min="12" max="12" width="11.54296875" style="251" customWidth="1"/>
    <col min="13" max="13" width="12.54296875" style="251" customWidth="1"/>
    <col min="14" max="14" width="5.7265625" style="251" customWidth="1"/>
    <col min="15" max="17" width="11.7265625" style="167" hidden="1" customWidth="1"/>
    <col min="18" max="18" width="5.7265625" style="251" hidden="1" customWidth="1"/>
    <col min="19" max="21" width="11.7265625" style="251" hidden="1" customWidth="1"/>
    <col min="22" max="22" width="5.7265625" style="251" hidden="1" customWidth="1"/>
    <col min="23" max="25" width="11.7265625" style="251" hidden="1" customWidth="1"/>
    <col min="26" max="26" width="5.7265625" style="251" hidden="1" customWidth="1"/>
    <col min="27" max="29" width="11.7265625" style="251" hidden="1" customWidth="1"/>
    <col min="30" max="257" width="9.1796875" style="251"/>
    <col min="258" max="258" width="5.26953125" style="251" customWidth="1"/>
    <col min="259" max="260" width="9.1796875" style="251"/>
    <col min="261" max="261" width="13" style="251" customWidth="1"/>
    <col min="262" max="267" width="5.7265625" style="251" customWidth="1"/>
    <col min="268" max="268" width="10" style="251" customWidth="1"/>
    <col min="269" max="269" width="11.54296875" style="251" customWidth="1"/>
    <col min="270" max="270" width="12.54296875" style="251" customWidth="1"/>
    <col min="271" max="513" width="9.1796875" style="251"/>
    <col min="514" max="514" width="5.26953125" style="251" customWidth="1"/>
    <col min="515" max="516" width="9.1796875" style="251"/>
    <col min="517" max="517" width="13" style="251" customWidth="1"/>
    <col min="518" max="523" width="5.7265625" style="251" customWidth="1"/>
    <col min="524" max="524" width="10" style="251" customWidth="1"/>
    <col min="525" max="525" width="11.54296875" style="251" customWidth="1"/>
    <col min="526" max="526" width="12.54296875" style="251" customWidth="1"/>
    <col min="527" max="769" width="9.1796875" style="251"/>
    <col min="770" max="770" width="5.26953125" style="251" customWidth="1"/>
    <col min="771" max="772" width="9.1796875" style="251"/>
    <col min="773" max="773" width="13" style="251" customWidth="1"/>
    <col min="774" max="779" width="5.7265625" style="251" customWidth="1"/>
    <col min="780" max="780" width="10" style="251" customWidth="1"/>
    <col min="781" max="781" width="11.54296875" style="251" customWidth="1"/>
    <col min="782" max="782" width="12.54296875" style="251" customWidth="1"/>
    <col min="783" max="1025" width="9.1796875" style="251"/>
    <col min="1026" max="1026" width="5.26953125" style="251" customWidth="1"/>
    <col min="1027" max="1028" width="9.1796875" style="251"/>
    <col min="1029" max="1029" width="13" style="251" customWidth="1"/>
    <col min="1030" max="1035" width="5.7265625" style="251" customWidth="1"/>
    <col min="1036" max="1036" width="10" style="251" customWidth="1"/>
    <col min="1037" max="1037" width="11.54296875" style="251" customWidth="1"/>
    <col min="1038" max="1038" width="12.54296875" style="251" customWidth="1"/>
    <col min="1039" max="1281" width="9.1796875" style="251"/>
    <col min="1282" max="1282" width="5.26953125" style="251" customWidth="1"/>
    <col min="1283" max="1284" width="9.1796875" style="251"/>
    <col min="1285" max="1285" width="13" style="251" customWidth="1"/>
    <col min="1286" max="1291" width="5.7265625" style="251" customWidth="1"/>
    <col min="1292" max="1292" width="10" style="251" customWidth="1"/>
    <col min="1293" max="1293" width="11.54296875" style="251" customWidth="1"/>
    <col min="1294" max="1294" width="12.54296875" style="251" customWidth="1"/>
    <col min="1295" max="1537" width="9.1796875" style="251"/>
    <col min="1538" max="1538" width="5.26953125" style="251" customWidth="1"/>
    <col min="1539" max="1540" width="9.1796875" style="251"/>
    <col min="1541" max="1541" width="13" style="251" customWidth="1"/>
    <col min="1542" max="1547" width="5.7265625" style="251" customWidth="1"/>
    <col min="1548" max="1548" width="10" style="251" customWidth="1"/>
    <col min="1549" max="1549" width="11.54296875" style="251" customWidth="1"/>
    <col min="1550" max="1550" width="12.54296875" style="251" customWidth="1"/>
    <col min="1551" max="1793" width="9.1796875" style="251"/>
    <col min="1794" max="1794" width="5.26953125" style="251" customWidth="1"/>
    <col min="1795" max="1796" width="9.1796875" style="251"/>
    <col min="1797" max="1797" width="13" style="251" customWidth="1"/>
    <col min="1798" max="1803" width="5.7265625" style="251" customWidth="1"/>
    <col min="1804" max="1804" width="10" style="251" customWidth="1"/>
    <col min="1805" max="1805" width="11.54296875" style="251" customWidth="1"/>
    <col min="1806" max="1806" width="12.54296875" style="251" customWidth="1"/>
    <col min="1807" max="2049" width="9.1796875" style="251"/>
    <col min="2050" max="2050" width="5.26953125" style="251" customWidth="1"/>
    <col min="2051" max="2052" width="9.1796875" style="251"/>
    <col min="2053" max="2053" width="13" style="251" customWidth="1"/>
    <col min="2054" max="2059" width="5.7265625" style="251" customWidth="1"/>
    <col min="2060" max="2060" width="10" style="251" customWidth="1"/>
    <col min="2061" max="2061" width="11.54296875" style="251" customWidth="1"/>
    <col min="2062" max="2062" width="12.54296875" style="251" customWidth="1"/>
    <col min="2063" max="2305" width="9.1796875" style="251"/>
    <col min="2306" max="2306" width="5.26953125" style="251" customWidth="1"/>
    <col min="2307" max="2308" width="9.1796875" style="251"/>
    <col min="2309" max="2309" width="13" style="251" customWidth="1"/>
    <col min="2310" max="2315" width="5.7265625" style="251" customWidth="1"/>
    <col min="2316" max="2316" width="10" style="251" customWidth="1"/>
    <col min="2317" max="2317" width="11.54296875" style="251" customWidth="1"/>
    <col min="2318" max="2318" width="12.54296875" style="251" customWidth="1"/>
    <col min="2319" max="2561" width="9.1796875" style="251"/>
    <col min="2562" max="2562" width="5.26953125" style="251" customWidth="1"/>
    <col min="2563" max="2564" width="9.1796875" style="251"/>
    <col min="2565" max="2565" width="13" style="251" customWidth="1"/>
    <col min="2566" max="2571" width="5.7265625" style="251" customWidth="1"/>
    <col min="2572" max="2572" width="10" style="251" customWidth="1"/>
    <col min="2573" max="2573" width="11.54296875" style="251" customWidth="1"/>
    <col min="2574" max="2574" width="12.54296875" style="251" customWidth="1"/>
    <col min="2575" max="2817" width="9.1796875" style="251"/>
    <col min="2818" max="2818" width="5.26953125" style="251" customWidth="1"/>
    <col min="2819" max="2820" width="9.1796875" style="251"/>
    <col min="2821" max="2821" width="13" style="251" customWidth="1"/>
    <col min="2822" max="2827" width="5.7265625" style="251" customWidth="1"/>
    <col min="2828" max="2828" width="10" style="251" customWidth="1"/>
    <col min="2829" max="2829" width="11.54296875" style="251" customWidth="1"/>
    <col min="2830" max="2830" width="12.54296875" style="251" customWidth="1"/>
    <col min="2831" max="3073" width="9.1796875" style="251"/>
    <col min="3074" max="3074" width="5.26953125" style="251" customWidth="1"/>
    <col min="3075" max="3076" width="9.1796875" style="251"/>
    <col min="3077" max="3077" width="13" style="251" customWidth="1"/>
    <col min="3078" max="3083" width="5.7265625" style="251" customWidth="1"/>
    <col min="3084" max="3084" width="10" style="251" customWidth="1"/>
    <col min="3085" max="3085" width="11.54296875" style="251" customWidth="1"/>
    <col min="3086" max="3086" width="12.54296875" style="251" customWidth="1"/>
    <col min="3087" max="3329" width="9.1796875" style="251"/>
    <col min="3330" max="3330" width="5.26953125" style="251" customWidth="1"/>
    <col min="3331" max="3332" width="9.1796875" style="251"/>
    <col min="3333" max="3333" width="13" style="251" customWidth="1"/>
    <col min="3334" max="3339" width="5.7265625" style="251" customWidth="1"/>
    <col min="3340" max="3340" width="10" style="251" customWidth="1"/>
    <col min="3341" max="3341" width="11.54296875" style="251" customWidth="1"/>
    <col min="3342" max="3342" width="12.54296875" style="251" customWidth="1"/>
    <col min="3343" max="3585" width="9.1796875" style="251"/>
    <col min="3586" max="3586" width="5.26953125" style="251" customWidth="1"/>
    <col min="3587" max="3588" width="9.1796875" style="251"/>
    <col min="3589" max="3589" width="13" style="251" customWidth="1"/>
    <col min="3590" max="3595" width="5.7265625" style="251" customWidth="1"/>
    <col min="3596" max="3596" width="10" style="251" customWidth="1"/>
    <col min="3597" max="3597" width="11.54296875" style="251" customWidth="1"/>
    <col min="3598" max="3598" width="12.54296875" style="251" customWidth="1"/>
    <col min="3599" max="3841" width="9.1796875" style="251"/>
    <col min="3842" max="3842" width="5.26953125" style="251" customWidth="1"/>
    <col min="3843" max="3844" width="9.1796875" style="251"/>
    <col min="3845" max="3845" width="13" style="251" customWidth="1"/>
    <col min="3846" max="3851" width="5.7265625" style="251" customWidth="1"/>
    <col min="3852" max="3852" width="10" style="251" customWidth="1"/>
    <col min="3853" max="3853" width="11.54296875" style="251" customWidth="1"/>
    <col min="3854" max="3854" width="12.54296875" style="251" customWidth="1"/>
    <col min="3855" max="4097" width="9.1796875" style="251"/>
    <col min="4098" max="4098" width="5.26953125" style="251" customWidth="1"/>
    <col min="4099" max="4100" width="9.1796875" style="251"/>
    <col min="4101" max="4101" width="13" style="251" customWidth="1"/>
    <col min="4102" max="4107" width="5.7265625" style="251" customWidth="1"/>
    <col min="4108" max="4108" width="10" style="251" customWidth="1"/>
    <col min="4109" max="4109" width="11.54296875" style="251" customWidth="1"/>
    <col min="4110" max="4110" width="12.54296875" style="251" customWidth="1"/>
    <col min="4111" max="4353" width="9.1796875" style="251"/>
    <col min="4354" max="4354" width="5.26953125" style="251" customWidth="1"/>
    <col min="4355" max="4356" width="9.1796875" style="251"/>
    <col min="4357" max="4357" width="13" style="251" customWidth="1"/>
    <col min="4358" max="4363" width="5.7265625" style="251" customWidth="1"/>
    <col min="4364" max="4364" width="10" style="251" customWidth="1"/>
    <col min="4365" max="4365" width="11.54296875" style="251" customWidth="1"/>
    <col min="4366" max="4366" width="12.54296875" style="251" customWidth="1"/>
    <col min="4367" max="4609" width="9.1796875" style="251"/>
    <col min="4610" max="4610" width="5.26953125" style="251" customWidth="1"/>
    <col min="4611" max="4612" width="9.1796875" style="251"/>
    <col min="4613" max="4613" width="13" style="251" customWidth="1"/>
    <col min="4614" max="4619" width="5.7265625" style="251" customWidth="1"/>
    <col min="4620" max="4620" width="10" style="251" customWidth="1"/>
    <col min="4621" max="4621" width="11.54296875" style="251" customWidth="1"/>
    <col min="4622" max="4622" width="12.54296875" style="251" customWidth="1"/>
    <col min="4623" max="4865" width="9.1796875" style="251"/>
    <col min="4866" max="4866" width="5.26953125" style="251" customWidth="1"/>
    <col min="4867" max="4868" width="9.1796875" style="251"/>
    <col min="4869" max="4869" width="13" style="251" customWidth="1"/>
    <col min="4870" max="4875" width="5.7265625" style="251" customWidth="1"/>
    <col min="4876" max="4876" width="10" style="251" customWidth="1"/>
    <col min="4877" max="4877" width="11.54296875" style="251" customWidth="1"/>
    <col min="4878" max="4878" width="12.54296875" style="251" customWidth="1"/>
    <col min="4879" max="5121" width="9.1796875" style="251"/>
    <col min="5122" max="5122" width="5.26953125" style="251" customWidth="1"/>
    <col min="5123" max="5124" width="9.1796875" style="251"/>
    <col min="5125" max="5125" width="13" style="251" customWidth="1"/>
    <col min="5126" max="5131" width="5.7265625" style="251" customWidth="1"/>
    <col min="5132" max="5132" width="10" style="251" customWidth="1"/>
    <col min="5133" max="5133" width="11.54296875" style="251" customWidth="1"/>
    <col min="5134" max="5134" width="12.54296875" style="251" customWidth="1"/>
    <col min="5135" max="5377" width="9.1796875" style="251"/>
    <col min="5378" max="5378" width="5.26953125" style="251" customWidth="1"/>
    <col min="5379" max="5380" width="9.1796875" style="251"/>
    <col min="5381" max="5381" width="13" style="251" customWidth="1"/>
    <col min="5382" max="5387" width="5.7265625" style="251" customWidth="1"/>
    <col min="5388" max="5388" width="10" style="251" customWidth="1"/>
    <col min="5389" max="5389" width="11.54296875" style="251" customWidth="1"/>
    <col min="5390" max="5390" width="12.54296875" style="251" customWidth="1"/>
    <col min="5391" max="5633" width="9.1796875" style="251"/>
    <col min="5634" max="5634" width="5.26953125" style="251" customWidth="1"/>
    <col min="5635" max="5636" width="9.1796875" style="251"/>
    <col min="5637" max="5637" width="13" style="251" customWidth="1"/>
    <col min="5638" max="5643" width="5.7265625" style="251" customWidth="1"/>
    <col min="5644" max="5644" width="10" style="251" customWidth="1"/>
    <col min="5645" max="5645" width="11.54296875" style="251" customWidth="1"/>
    <col min="5646" max="5646" width="12.54296875" style="251" customWidth="1"/>
    <col min="5647" max="5889" width="9.1796875" style="251"/>
    <col min="5890" max="5890" width="5.26953125" style="251" customWidth="1"/>
    <col min="5891" max="5892" width="9.1796875" style="251"/>
    <col min="5893" max="5893" width="13" style="251" customWidth="1"/>
    <col min="5894" max="5899" width="5.7265625" style="251" customWidth="1"/>
    <col min="5900" max="5900" width="10" style="251" customWidth="1"/>
    <col min="5901" max="5901" width="11.54296875" style="251" customWidth="1"/>
    <col min="5902" max="5902" width="12.54296875" style="251" customWidth="1"/>
    <col min="5903" max="6145" width="9.1796875" style="251"/>
    <col min="6146" max="6146" width="5.26953125" style="251" customWidth="1"/>
    <col min="6147" max="6148" width="9.1796875" style="251"/>
    <col min="6149" max="6149" width="13" style="251" customWidth="1"/>
    <col min="6150" max="6155" width="5.7265625" style="251" customWidth="1"/>
    <col min="6156" max="6156" width="10" style="251" customWidth="1"/>
    <col min="6157" max="6157" width="11.54296875" style="251" customWidth="1"/>
    <col min="6158" max="6158" width="12.54296875" style="251" customWidth="1"/>
    <col min="6159" max="6401" width="9.1796875" style="251"/>
    <col min="6402" max="6402" width="5.26953125" style="251" customWidth="1"/>
    <col min="6403" max="6404" width="9.1796875" style="251"/>
    <col min="6405" max="6405" width="13" style="251" customWidth="1"/>
    <col min="6406" max="6411" width="5.7265625" style="251" customWidth="1"/>
    <col min="6412" max="6412" width="10" style="251" customWidth="1"/>
    <col min="6413" max="6413" width="11.54296875" style="251" customWidth="1"/>
    <col min="6414" max="6414" width="12.54296875" style="251" customWidth="1"/>
    <col min="6415" max="6657" width="9.1796875" style="251"/>
    <col min="6658" max="6658" width="5.26953125" style="251" customWidth="1"/>
    <col min="6659" max="6660" width="9.1796875" style="251"/>
    <col min="6661" max="6661" width="13" style="251" customWidth="1"/>
    <col min="6662" max="6667" width="5.7265625" style="251" customWidth="1"/>
    <col min="6668" max="6668" width="10" style="251" customWidth="1"/>
    <col min="6669" max="6669" width="11.54296875" style="251" customWidth="1"/>
    <col min="6670" max="6670" width="12.54296875" style="251" customWidth="1"/>
    <col min="6671" max="6913" width="9.1796875" style="251"/>
    <col min="6914" max="6914" width="5.26953125" style="251" customWidth="1"/>
    <col min="6915" max="6916" width="9.1796875" style="251"/>
    <col min="6917" max="6917" width="13" style="251" customWidth="1"/>
    <col min="6918" max="6923" width="5.7265625" style="251" customWidth="1"/>
    <col min="6924" max="6924" width="10" style="251" customWidth="1"/>
    <col min="6925" max="6925" width="11.54296875" style="251" customWidth="1"/>
    <col min="6926" max="6926" width="12.54296875" style="251" customWidth="1"/>
    <col min="6927" max="7169" width="9.1796875" style="251"/>
    <col min="7170" max="7170" width="5.26953125" style="251" customWidth="1"/>
    <col min="7171" max="7172" width="9.1796875" style="251"/>
    <col min="7173" max="7173" width="13" style="251" customWidth="1"/>
    <col min="7174" max="7179" width="5.7265625" style="251" customWidth="1"/>
    <col min="7180" max="7180" width="10" style="251" customWidth="1"/>
    <col min="7181" max="7181" width="11.54296875" style="251" customWidth="1"/>
    <col min="7182" max="7182" width="12.54296875" style="251" customWidth="1"/>
    <col min="7183" max="7425" width="9.1796875" style="251"/>
    <col min="7426" max="7426" width="5.26953125" style="251" customWidth="1"/>
    <col min="7427" max="7428" width="9.1796875" style="251"/>
    <col min="7429" max="7429" width="13" style="251" customWidth="1"/>
    <col min="7430" max="7435" width="5.7265625" style="251" customWidth="1"/>
    <col min="7436" max="7436" width="10" style="251" customWidth="1"/>
    <col min="7437" max="7437" width="11.54296875" style="251" customWidth="1"/>
    <col min="7438" max="7438" width="12.54296875" style="251" customWidth="1"/>
    <col min="7439" max="7681" width="9.1796875" style="251"/>
    <col min="7682" max="7682" width="5.26953125" style="251" customWidth="1"/>
    <col min="7683" max="7684" width="9.1796875" style="251"/>
    <col min="7685" max="7685" width="13" style="251" customWidth="1"/>
    <col min="7686" max="7691" width="5.7265625" style="251" customWidth="1"/>
    <col min="7692" max="7692" width="10" style="251" customWidth="1"/>
    <col min="7693" max="7693" width="11.54296875" style="251" customWidth="1"/>
    <col min="7694" max="7694" width="12.54296875" style="251" customWidth="1"/>
    <col min="7695" max="7937" width="9.1796875" style="251"/>
    <col min="7938" max="7938" width="5.26953125" style="251" customWidth="1"/>
    <col min="7939" max="7940" width="9.1796875" style="251"/>
    <col min="7941" max="7941" width="13" style="251" customWidth="1"/>
    <col min="7942" max="7947" width="5.7265625" style="251" customWidth="1"/>
    <col min="7948" max="7948" width="10" style="251" customWidth="1"/>
    <col min="7949" max="7949" width="11.54296875" style="251" customWidth="1"/>
    <col min="7950" max="7950" width="12.54296875" style="251" customWidth="1"/>
    <col min="7951" max="8193" width="9.1796875" style="251"/>
    <col min="8194" max="8194" width="5.26953125" style="251" customWidth="1"/>
    <col min="8195" max="8196" width="9.1796875" style="251"/>
    <col min="8197" max="8197" width="13" style="251" customWidth="1"/>
    <col min="8198" max="8203" width="5.7265625" style="251" customWidth="1"/>
    <col min="8204" max="8204" width="10" style="251" customWidth="1"/>
    <col min="8205" max="8205" width="11.54296875" style="251" customWidth="1"/>
    <col min="8206" max="8206" width="12.54296875" style="251" customWidth="1"/>
    <col min="8207" max="8449" width="9.1796875" style="251"/>
    <col min="8450" max="8450" width="5.26953125" style="251" customWidth="1"/>
    <col min="8451" max="8452" width="9.1796875" style="251"/>
    <col min="8453" max="8453" width="13" style="251" customWidth="1"/>
    <col min="8454" max="8459" width="5.7265625" style="251" customWidth="1"/>
    <col min="8460" max="8460" width="10" style="251" customWidth="1"/>
    <col min="8461" max="8461" width="11.54296875" style="251" customWidth="1"/>
    <col min="8462" max="8462" width="12.54296875" style="251" customWidth="1"/>
    <col min="8463" max="8705" width="9.1796875" style="251"/>
    <col min="8706" max="8706" width="5.26953125" style="251" customWidth="1"/>
    <col min="8707" max="8708" width="9.1796875" style="251"/>
    <col min="8709" max="8709" width="13" style="251" customWidth="1"/>
    <col min="8710" max="8715" width="5.7265625" style="251" customWidth="1"/>
    <col min="8716" max="8716" width="10" style="251" customWidth="1"/>
    <col min="8717" max="8717" width="11.54296875" style="251" customWidth="1"/>
    <col min="8718" max="8718" width="12.54296875" style="251" customWidth="1"/>
    <col min="8719" max="8961" width="9.1796875" style="251"/>
    <col min="8962" max="8962" width="5.26953125" style="251" customWidth="1"/>
    <col min="8963" max="8964" width="9.1796875" style="251"/>
    <col min="8965" max="8965" width="13" style="251" customWidth="1"/>
    <col min="8966" max="8971" width="5.7265625" style="251" customWidth="1"/>
    <col min="8972" max="8972" width="10" style="251" customWidth="1"/>
    <col min="8973" max="8973" width="11.54296875" style="251" customWidth="1"/>
    <col min="8974" max="8974" width="12.54296875" style="251" customWidth="1"/>
    <col min="8975" max="9217" width="9.1796875" style="251"/>
    <col min="9218" max="9218" width="5.26953125" style="251" customWidth="1"/>
    <col min="9219" max="9220" width="9.1796875" style="251"/>
    <col min="9221" max="9221" width="13" style="251" customWidth="1"/>
    <col min="9222" max="9227" width="5.7265625" style="251" customWidth="1"/>
    <col min="9228" max="9228" width="10" style="251" customWidth="1"/>
    <col min="9229" max="9229" width="11.54296875" style="251" customWidth="1"/>
    <col min="9230" max="9230" width="12.54296875" style="251" customWidth="1"/>
    <col min="9231" max="9473" width="9.1796875" style="251"/>
    <col min="9474" max="9474" width="5.26953125" style="251" customWidth="1"/>
    <col min="9475" max="9476" width="9.1796875" style="251"/>
    <col min="9477" max="9477" width="13" style="251" customWidth="1"/>
    <col min="9478" max="9483" width="5.7265625" style="251" customWidth="1"/>
    <col min="9484" max="9484" width="10" style="251" customWidth="1"/>
    <col min="9485" max="9485" width="11.54296875" style="251" customWidth="1"/>
    <col min="9486" max="9486" width="12.54296875" style="251" customWidth="1"/>
    <col min="9487" max="9729" width="9.1796875" style="251"/>
    <col min="9730" max="9730" width="5.26953125" style="251" customWidth="1"/>
    <col min="9731" max="9732" width="9.1796875" style="251"/>
    <col min="9733" max="9733" width="13" style="251" customWidth="1"/>
    <col min="9734" max="9739" width="5.7265625" style="251" customWidth="1"/>
    <col min="9740" max="9740" width="10" style="251" customWidth="1"/>
    <col min="9741" max="9741" width="11.54296875" style="251" customWidth="1"/>
    <col min="9742" max="9742" width="12.54296875" style="251" customWidth="1"/>
    <col min="9743" max="9985" width="9.1796875" style="251"/>
    <col min="9986" max="9986" width="5.26953125" style="251" customWidth="1"/>
    <col min="9987" max="9988" width="9.1796875" style="251"/>
    <col min="9989" max="9989" width="13" style="251" customWidth="1"/>
    <col min="9990" max="9995" width="5.7265625" style="251" customWidth="1"/>
    <col min="9996" max="9996" width="10" style="251" customWidth="1"/>
    <col min="9997" max="9997" width="11.54296875" style="251" customWidth="1"/>
    <col min="9998" max="9998" width="12.54296875" style="251" customWidth="1"/>
    <col min="9999" max="10241" width="9.1796875" style="251"/>
    <col min="10242" max="10242" width="5.26953125" style="251" customWidth="1"/>
    <col min="10243" max="10244" width="9.1796875" style="251"/>
    <col min="10245" max="10245" width="13" style="251" customWidth="1"/>
    <col min="10246" max="10251" width="5.7265625" style="251" customWidth="1"/>
    <col min="10252" max="10252" width="10" style="251" customWidth="1"/>
    <col min="10253" max="10253" width="11.54296875" style="251" customWidth="1"/>
    <col min="10254" max="10254" width="12.54296875" style="251" customWidth="1"/>
    <col min="10255" max="10497" width="9.1796875" style="251"/>
    <col min="10498" max="10498" width="5.26953125" style="251" customWidth="1"/>
    <col min="10499" max="10500" width="9.1796875" style="251"/>
    <col min="10501" max="10501" width="13" style="251" customWidth="1"/>
    <col min="10502" max="10507" width="5.7265625" style="251" customWidth="1"/>
    <col min="10508" max="10508" width="10" style="251" customWidth="1"/>
    <col min="10509" max="10509" width="11.54296875" style="251" customWidth="1"/>
    <col min="10510" max="10510" width="12.54296875" style="251" customWidth="1"/>
    <col min="10511" max="10753" width="9.1796875" style="251"/>
    <col min="10754" max="10754" width="5.26953125" style="251" customWidth="1"/>
    <col min="10755" max="10756" width="9.1796875" style="251"/>
    <col min="10757" max="10757" width="13" style="251" customWidth="1"/>
    <col min="10758" max="10763" width="5.7265625" style="251" customWidth="1"/>
    <col min="10764" max="10764" width="10" style="251" customWidth="1"/>
    <col min="10765" max="10765" width="11.54296875" style="251" customWidth="1"/>
    <col min="10766" max="10766" width="12.54296875" style="251" customWidth="1"/>
    <col min="10767" max="11009" width="9.1796875" style="251"/>
    <col min="11010" max="11010" width="5.26953125" style="251" customWidth="1"/>
    <col min="11011" max="11012" width="9.1796875" style="251"/>
    <col min="11013" max="11013" width="13" style="251" customWidth="1"/>
    <col min="11014" max="11019" width="5.7265625" style="251" customWidth="1"/>
    <col min="11020" max="11020" width="10" style="251" customWidth="1"/>
    <col min="11021" max="11021" width="11.54296875" style="251" customWidth="1"/>
    <col min="11022" max="11022" width="12.54296875" style="251" customWidth="1"/>
    <col min="11023" max="11265" width="9.1796875" style="251"/>
    <col min="11266" max="11266" width="5.26953125" style="251" customWidth="1"/>
    <col min="11267" max="11268" width="9.1796875" style="251"/>
    <col min="11269" max="11269" width="13" style="251" customWidth="1"/>
    <col min="11270" max="11275" width="5.7265625" style="251" customWidth="1"/>
    <col min="11276" max="11276" width="10" style="251" customWidth="1"/>
    <col min="11277" max="11277" width="11.54296875" style="251" customWidth="1"/>
    <col min="11278" max="11278" width="12.54296875" style="251" customWidth="1"/>
    <col min="11279" max="11521" width="9.1796875" style="251"/>
    <col min="11522" max="11522" width="5.26953125" style="251" customWidth="1"/>
    <col min="11523" max="11524" width="9.1796875" style="251"/>
    <col min="11525" max="11525" width="13" style="251" customWidth="1"/>
    <col min="11526" max="11531" width="5.7265625" style="251" customWidth="1"/>
    <col min="11532" max="11532" width="10" style="251" customWidth="1"/>
    <col min="11533" max="11533" width="11.54296875" style="251" customWidth="1"/>
    <col min="11534" max="11534" width="12.54296875" style="251" customWidth="1"/>
    <col min="11535" max="11777" width="9.1796875" style="251"/>
    <col min="11778" max="11778" width="5.26953125" style="251" customWidth="1"/>
    <col min="11779" max="11780" width="9.1796875" style="251"/>
    <col min="11781" max="11781" width="13" style="251" customWidth="1"/>
    <col min="11782" max="11787" width="5.7265625" style="251" customWidth="1"/>
    <col min="11788" max="11788" width="10" style="251" customWidth="1"/>
    <col min="11789" max="11789" width="11.54296875" style="251" customWidth="1"/>
    <col min="11790" max="11790" width="12.54296875" style="251" customWidth="1"/>
    <col min="11791" max="12033" width="9.1796875" style="251"/>
    <col min="12034" max="12034" width="5.26953125" style="251" customWidth="1"/>
    <col min="12035" max="12036" width="9.1796875" style="251"/>
    <col min="12037" max="12037" width="13" style="251" customWidth="1"/>
    <col min="12038" max="12043" width="5.7265625" style="251" customWidth="1"/>
    <col min="12044" max="12044" width="10" style="251" customWidth="1"/>
    <col min="12045" max="12045" width="11.54296875" style="251" customWidth="1"/>
    <col min="12046" max="12046" width="12.54296875" style="251" customWidth="1"/>
    <col min="12047" max="12289" width="9.1796875" style="251"/>
    <col min="12290" max="12290" width="5.26953125" style="251" customWidth="1"/>
    <col min="12291" max="12292" width="9.1796875" style="251"/>
    <col min="12293" max="12293" width="13" style="251" customWidth="1"/>
    <col min="12294" max="12299" width="5.7265625" style="251" customWidth="1"/>
    <col min="12300" max="12300" width="10" style="251" customWidth="1"/>
    <col min="12301" max="12301" width="11.54296875" style="251" customWidth="1"/>
    <col min="12302" max="12302" width="12.54296875" style="251" customWidth="1"/>
    <col min="12303" max="12545" width="9.1796875" style="251"/>
    <col min="12546" max="12546" width="5.26953125" style="251" customWidth="1"/>
    <col min="12547" max="12548" width="9.1796875" style="251"/>
    <col min="12549" max="12549" width="13" style="251" customWidth="1"/>
    <col min="12550" max="12555" width="5.7265625" style="251" customWidth="1"/>
    <col min="12556" max="12556" width="10" style="251" customWidth="1"/>
    <col min="12557" max="12557" width="11.54296875" style="251" customWidth="1"/>
    <col min="12558" max="12558" width="12.54296875" style="251" customWidth="1"/>
    <col min="12559" max="12801" width="9.1796875" style="251"/>
    <col min="12802" max="12802" width="5.26953125" style="251" customWidth="1"/>
    <col min="12803" max="12804" width="9.1796875" style="251"/>
    <col min="12805" max="12805" width="13" style="251" customWidth="1"/>
    <col min="12806" max="12811" width="5.7265625" style="251" customWidth="1"/>
    <col min="12812" max="12812" width="10" style="251" customWidth="1"/>
    <col min="12813" max="12813" width="11.54296875" style="251" customWidth="1"/>
    <col min="12814" max="12814" width="12.54296875" style="251" customWidth="1"/>
    <col min="12815" max="13057" width="9.1796875" style="251"/>
    <col min="13058" max="13058" width="5.26953125" style="251" customWidth="1"/>
    <col min="13059" max="13060" width="9.1796875" style="251"/>
    <col min="13061" max="13061" width="13" style="251" customWidth="1"/>
    <col min="13062" max="13067" width="5.7265625" style="251" customWidth="1"/>
    <col min="13068" max="13068" width="10" style="251" customWidth="1"/>
    <col min="13069" max="13069" width="11.54296875" style="251" customWidth="1"/>
    <col min="13070" max="13070" width="12.54296875" style="251" customWidth="1"/>
    <col min="13071" max="13313" width="9.1796875" style="251"/>
    <col min="13314" max="13314" width="5.26953125" style="251" customWidth="1"/>
    <col min="13315" max="13316" width="9.1796875" style="251"/>
    <col min="13317" max="13317" width="13" style="251" customWidth="1"/>
    <col min="13318" max="13323" width="5.7265625" style="251" customWidth="1"/>
    <col min="13324" max="13324" width="10" style="251" customWidth="1"/>
    <col min="13325" max="13325" width="11.54296875" style="251" customWidth="1"/>
    <col min="13326" max="13326" width="12.54296875" style="251" customWidth="1"/>
    <col min="13327" max="13569" width="9.1796875" style="251"/>
    <col min="13570" max="13570" width="5.26953125" style="251" customWidth="1"/>
    <col min="13571" max="13572" width="9.1796875" style="251"/>
    <col min="13573" max="13573" width="13" style="251" customWidth="1"/>
    <col min="13574" max="13579" width="5.7265625" style="251" customWidth="1"/>
    <col min="13580" max="13580" width="10" style="251" customWidth="1"/>
    <col min="13581" max="13581" width="11.54296875" style="251" customWidth="1"/>
    <col min="13582" max="13582" width="12.54296875" style="251" customWidth="1"/>
    <col min="13583" max="13825" width="9.1796875" style="251"/>
    <col min="13826" max="13826" width="5.26953125" style="251" customWidth="1"/>
    <col min="13827" max="13828" width="9.1796875" style="251"/>
    <col min="13829" max="13829" width="13" style="251" customWidth="1"/>
    <col min="13830" max="13835" width="5.7265625" style="251" customWidth="1"/>
    <col min="13836" max="13836" width="10" style="251" customWidth="1"/>
    <col min="13837" max="13837" width="11.54296875" style="251" customWidth="1"/>
    <col min="13838" max="13838" width="12.54296875" style="251" customWidth="1"/>
    <col min="13839" max="14081" width="9.1796875" style="251"/>
    <col min="14082" max="14082" width="5.26953125" style="251" customWidth="1"/>
    <col min="14083" max="14084" width="9.1796875" style="251"/>
    <col min="14085" max="14085" width="13" style="251" customWidth="1"/>
    <col min="14086" max="14091" width="5.7265625" style="251" customWidth="1"/>
    <col min="14092" max="14092" width="10" style="251" customWidth="1"/>
    <col min="14093" max="14093" width="11.54296875" style="251" customWidth="1"/>
    <col min="14094" max="14094" width="12.54296875" style="251" customWidth="1"/>
    <col min="14095" max="14337" width="9.1796875" style="251"/>
    <col min="14338" max="14338" width="5.26953125" style="251" customWidth="1"/>
    <col min="14339" max="14340" width="9.1796875" style="251"/>
    <col min="14341" max="14341" width="13" style="251" customWidth="1"/>
    <col min="14342" max="14347" width="5.7265625" style="251" customWidth="1"/>
    <col min="14348" max="14348" width="10" style="251" customWidth="1"/>
    <col min="14349" max="14349" width="11.54296875" style="251" customWidth="1"/>
    <col min="14350" max="14350" width="12.54296875" style="251" customWidth="1"/>
    <col min="14351" max="14593" width="9.1796875" style="251"/>
    <col min="14594" max="14594" width="5.26953125" style="251" customWidth="1"/>
    <col min="14595" max="14596" width="9.1796875" style="251"/>
    <col min="14597" max="14597" width="13" style="251" customWidth="1"/>
    <col min="14598" max="14603" width="5.7265625" style="251" customWidth="1"/>
    <col min="14604" max="14604" width="10" style="251" customWidth="1"/>
    <col min="14605" max="14605" width="11.54296875" style="251" customWidth="1"/>
    <col min="14606" max="14606" width="12.54296875" style="251" customWidth="1"/>
    <col min="14607" max="14849" width="9.1796875" style="251"/>
    <col min="14850" max="14850" width="5.26953125" style="251" customWidth="1"/>
    <col min="14851" max="14852" width="9.1796875" style="251"/>
    <col min="14853" max="14853" width="13" style="251" customWidth="1"/>
    <col min="14854" max="14859" width="5.7265625" style="251" customWidth="1"/>
    <col min="14860" max="14860" width="10" style="251" customWidth="1"/>
    <col min="14861" max="14861" width="11.54296875" style="251" customWidth="1"/>
    <col min="14862" max="14862" width="12.54296875" style="251" customWidth="1"/>
    <col min="14863" max="15105" width="9.1796875" style="251"/>
    <col min="15106" max="15106" width="5.26953125" style="251" customWidth="1"/>
    <col min="15107" max="15108" width="9.1796875" style="251"/>
    <col min="15109" max="15109" width="13" style="251" customWidth="1"/>
    <col min="15110" max="15115" width="5.7265625" style="251" customWidth="1"/>
    <col min="15116" max="15116" width="10" style="251" customWidth="1"/>
    <col min="15117" max="15117" width="11.54296875" style="251" customWidth="1"/>
    <col min="15118" max="15118" width="12.54296875" style="251" customWidth="1"/>
    <col min="15119" max="15361" width="9.1796875" style="251"/>
    <col min="15362" max="15362" width="5.26953125" style="251" customWidth="1"/>
    <col min="15363" max="15364" width="9.1796875" style="251"/>
    <col min="15365" max="15365" width="13" style="251" customWidth="1"/>
    <col min="15366" max="15371" width="5.7265625" style="251" customWidth="1"/>
    <col min="15372" max="15372" width="10" style="251" customWidth="1"/>
    <col min="15373" max="15373" width="11.54296875" style="251" customWidth="1"/>
    <col min="15374" max="15374" width="12.54296875" style="251" customWidth="1"/>
    <col min="15375" max="15617" width="9.1796875" style="251"/>
    <col min="15618" max="15618" width="5.26953125" style="251" customWidth="1"/>
    <col min="15619" max="15620" width="9.1796875" style="251"/>
    <col min="15621" max="15621" width="13" style="251" customWidth="1"/>
    <col min="15622" max="15627" width="5.7265625" style="251" customWidth="1"/>
    <col min="15628" max="15628" width="10" style="251" customWidth="1"/>
    <col min="15629" max="15629" width="11.54296875" style="251" customWidth="1"/>
    <col min="15630" max="15630" width="12.54296875" style="251" customWidth="1"/>
    <col min="15631" max="15873" width="9.1796875" style="251"/>
    <col min="15874" max="15874" width="5.26953125" style="251" customWidth="1"/>
    <col min="15875" max="15876" width="9.1796875" style="251"/>
    <col min="15877" max="15877" width="13" style="251" customWidth="1"/>
    <col min="15878" max="15883" width="5.7265625" style="251" customWidth="1"/>
    <col min="15884" max="15884" width="10" style="251" customWidth="1"/>
    <col min="15885" max="15885" width="11.54296875" style="251" customWidth="1"/>
    <col min="15886" max="15886" width="12.54296875" style="251" customWidth="1"/>
    <col min="15887" max="16129" width="9.1796875" style="251"/>
    <col min="16130" max="16130" width="5.26953125" style="251" customWidth="1"/>
    <col min="16131" max="16132" width="9.1796875" style="251"/>
    <col min="16133" max="16133" width="13" style="251" customWidth="1"/>
    <col min="16134" max="16139" width="5.7265625" style="251" customWidth="1"/>
    <col min="16140" max="16140" width="10" style="251" customWidth="1"/>
    <col min="16141" max="16141" width="11.54296875" style="251" customWidth="1"/>
    <col min="16142" max="16142" width="12.54296875" style="251" customWidth="1"/>
    <col min="16143" max="16384" width="9.1796875" style="251"/>
  </cols>
  <sheetData>
    <row r="1" spans="2:29" x14ac:dyDescent="0.35">
      <c r="K1" s="350"/>
    </row>
    <row r="2" spans="2:29" ht="13" thickBot="1" x14ac:dyDescent="0.4">
      <c r="P2" s="167" t="s">
        <v>279</v>
      </c>
      <c r="T2" s="251" t="s">
        <v>280</v>
      </c>
      <c r="X2" s="251" t="s">
        <v>281</v>
      </c>
      <c r="AB2" s="251" t="s">
        <v>282</v>
      </c>
    </row>
    <row r="3" spans="2:29" ht="18.5" thickBot="1" x14ac:dyDescent="0.4">
      <c r="B3" s="351" t="s">
        <v>207</v>
      </c>
      <c r="H3" s="532"/>
      <c r="I3" s="533"/>
      <c r="J3" s="533"/>
      <c r="K3" s="352" t="s">
        <v>208</v>
      </c>
      <c r="L3" s="352" t="s">
        <v>283</v>
      </c>
      <c r="M3" s="353" t="s">
        <v>284</v>
      </c>
      <c r="N3" s="209"/>
      <c r="O3" s="167" t="s">
        <v>208</v>
      </c>
      <c r="P3" s="167" t="s">
        <v>283</v>
      </c>
      <c r="Q3" s="167" t="s">
        <v>284</v>
      </c>
      <c r="S3" s="167" t="s">
        <v>208</v>
      </c>
      <c r="T3" s="167" t="s">
        <v>283</v>
      </c>
      <c r="U3" s="167" t="s">
        <v>284</v>
      </c>
      <c r="W3" s="167" t="s">
        <v>208</v>
      </c>
      <c r="X3" s="167" t="s">
        <v>283</v>
      </c>
      <c r="Y3" s="167" t="s">
        <v>284</v>
      </c>
      <c r="AA3" s="167" t="s">
        <v>208</v>
      </c>
      <c r="AB3" s="167" t="s">
        <v>283</v>
      </c>
      <c r="AC3" s="167" t="s">
        <v>284</v>
      </c>
    </row>
    <row r="4" spans="2:29" ht="13" x14ac:dyDescent="0.35">
      <c r="H4" s="534" t="s">
        <v>285</v>
      </c>
      <c r="I4" s="535"/>
      <c r="J4" s="535"/>
      <c r="K4" s="354">
        <f>SUM(K25:K75)</f>
        <v>0</v>
      </c>
      <c r="L4" s="354">
        <f>SUM(L25:L75)</f>
        <v>0</v>
      </c>
      <c r="M4" s="355">
        <f>SUM(M25:M75)</f>
        <v>0</v>
      </c>
      <c r="N4" s="356"/>
      <c r="O4" s="354">
        <f>SUM(O25:O75)</f>
        <v>0</v>
      </c>
      <c r="P4" s="354">
        <f>SUM(P25:P75)</f>
        <v>0</v>
      </c>
      <c r="Q4" s="355">
        <f>SUM(Q25:Q75)</f>
        <v>0</v>
      </c>
      <c r="S4" s="354">
        <f>SUM(S25:S75)</f>
        <v>0</v>
      </c>
      <c r="T4" s="354">
        <f>SUM(T25:T75)</f>
        <v>0</v>
      </c>
      <c r="U4" s="355">
        <f>SUM(U25:U75)</f>
        <v>0</v>
      </c>
      <c r="W4" s="354">
        <f>SUM(W25:W75)</f>
        <v>0</v>
      </c>
      <c r="X4" s="354">
        <f>SUM(X25:X75)</f>
        <v>0</v>
      </c>
      <c r="Y4" s="355">
        <f>SUM(Y25:Y75)</f>
        <v>0</v>
      </c>
      <c r="AA4" s="354">
        <f>SUM(AA25:AA75)</f>
        <v>0</v>
      </c>
      <c r="AB4" s="354">
        <f>SUM(AB25:AB75)</f>
        <v>0</v>
      </c>
      <c r="AC4" s="355">
        <f>SUM(AC25:AC75)</f>
        <v>0</v>
      </c>
    </row>
    <row r="5" spans="2:29" ht="13.5" thickBot="1" x14ac:dyDescent="0.4">
      <c r="H5" s="536" t="s">
        <v>286</v>
      </c>
      <c r="I5" s="537"/>
      <c r="J5" s="537"/>
      <c r="K5" s="357">
        <f>K4+4</f>
        <v>4</v>
      </c>
      <c r="L5" s="357">
        <f>L4+4</f>
        <v>4</v>
      </c>
      <c r="M5" s="358">
        <f>M4+4</f>
        <v>4</v>
      </c>
      <c r="N5" s="356"/>
      <c r="O5" s="357">
        <f>O4+4</f>
        <v>4</v>
      </c>
      <c r="P5" s="357">
        <f>P4+4</f>
        <v>4</v>
      </c>
      <c r="Q5" s="358">
        <f>Q4+4</f>
        <v>4</v>
      </c>
      <c r="S5" s="357">
        <f>S4+4</f>
        <v>4</v>
      </c>
      <c r="T5" s="357">
        <f>T4+4</f>
        <v>4</v>
      </c>
      <c r="U5" s="358">
        <f>U4+4</f>
        <v>4</v>
      </c>
      <c r="W5" s="357">
        <f>W4+4</f>
        <v>4</v>
      </c>
      <c r="X5" s="357">
        <f>X4+4</f>
        <v>4</v>
      </c>
      <c r="Y5" s="358">
        <f>Y4+4</f>
        <v>4</v>
      </c>
      <c r="AA5" s="357">
        <f>AA4+4</f>
        <v>4</v>
      </c>
      <c r="AB5" s="357">
        <f>AB4+4</f>
        <v>4</v>
      </c>
      <c r="AC5" s="358">
        <f>AC4+4</f>
        <v>4</v>
      </c>
    </row>
    <row r="6" spans="2:29" ht="13" thickBot="1" x14ac:dyDescent="0.4">
      <c r="B6" s="251" t="s">
        <v>287</v>
      </c>
      <c r="C6" s="359"/>
    </row>
    <row r="7" spans="2:29" ht="13" x14ac:dyDescent="0.35">
      <c r="B7" s="360"/>
      <c r="C7" s="360"/>
      <c r="D7" s="360"/>
      <c r="E7" s="360"/>
      <c r="F7" s="538" t="s">
        <v>209</v>
      </c>
      <c r="G7" s="538"/>
      <c r="H7" s="538"/>
      <c r="I7" s="538"/>
      <c r="J7" s="538"/>
      <c r="K7" s="360"/>
      <c r="L7" s="361"/>
      <c r="M7" s="361"/>
      <c r="N7" s="209"/>
    </row>
    <row r="8" spans="2:29" ht="13.5" thickBot="1" x14ac:dyDescent="0.4">
      <c r="B8" s="362"/>
      <c r="C8" s="363" t="s">
        <v>288</v>
      </c>
      <c r="D8" s="363" t="s">
        <v>289</v>
      </c>
      <c r="E8" s="363" t="s">
        <v>210</v>
      </c>
      <c r="F8" s="363">
        <v>106</v>
      </c>
      <c r="G8" s="363">
        <v>1080</v>
      </c>
      <c r="H8" s="363">
        <v>2113</v>
      </c>
      <c r="I8" s="363">
        <v>2116</v>
      </c>
      <c r="J8" s="363">
        <v>7628</v>
      </c>
      <c r="K8" s="363" t="s">
        <v>208</v>
      </c>
      <c r="L8" s="363" t="s">
        <v>283</v>
      </c>
      <c r="M8" s="363" t="s">
        <v>284</v>
      </c>
      <c r="N8" s="209"/>
    </row>
    <row r="9" spans="2:29" hidden="1" x14ac:dyDescent="0.35">
      <c r="C9" s="364"/>
      <c r="D9" s="364"/>
      <c r="E9" s="365" t="s">
        <v>290</v>
      </c>
      <c r="F9" s="366">
        <v>1.9</v>
      </c>
      <c r="G9" s="367">
        <v>2.9</v>
      </c>
      <c r="H9" s="367">
        <v>3.5</v>
      </c>
      <c r="I9" s="367">
        <v>4</v>
      </c>
      <c r="J9" s="367">
        <v>7.1</v>
      </c>
      <c r="K9" s="364" t="s">
        <v>211</v>
      </c>
      <c r="L9" s="364" t="s">
        <v>211</v>
      </c>
      <c r="M9" s="364" t="s">
        <v>211</v>
      </c>
      <c r="N9" s="364"/>
    </row>
    <row r="10" spans="2:29" hidden="1" x14ac:dyDescent="0.35">
      <c r="C10" s="364"/>
      <c r="D10" s="364"/>
      <c r="E10" s="365" t="s">
        <v>291</v>
      </c>
      <c r="F10" s="366">
        <v>2.2999999999999998</v>
      </c>
      <c r="G10" s="367">
        <v>3.1</v>
      </c>
      <c r="H10" s="367">
        <v>4</v>
      </c>
      <c r="I10" s="367">
        <v>4.5999999999999996</v>
      </c>
      <c r="J10" s="367">
        <v>7.2</v>
      </c>
      <c r="K10" s="364"/>
      <c r="L10" s="364"/>
      <c r="M10" s="364"/>
      <c r="N10" s="364"/>
    </row>
    <row r="11" spans="2:29" hidden="1" x14ac:dyDescent="0.35">
      <c r="C11" s="364"/>
      <c r="D11" s="364"/>
      <c r="E11" s="365" t="s">
        <v>292</v>
      </c>
      <c r="F11" s="366">
        <v>2.8</v>
      </c>
      <c r="G11" s="367">
        <v>3.2</v>
      </c>
      <c r="H11" s="367">
        <v>4</v>
      </c>
      <c r="I11" s="367">
        <v>5</v>
      </c>
      <c r="J11" s="367">
        <v>8</v>
      </c>
      <c r="K11" s="364"/>
      <c r="L11" s="364"/>
      <c r="M11" s="364"/>
      <c r="N11" s="364"/>
    </row>
    <row r="12" spans="2:29" hidden="1" x14ac:dyDescent="0.35">
      <c r="C12" s="364"/>
      <c r="D12" s="364"/>
      <c r="E12" s="365" t="s">
        <v>293</v>
      </c>
      <c r="F12" s="366">
        <v>2.2999999999999998</v>
      </c>
      <c r="G12" s="367">
        <v>3</v>
      </c>
      <c r="H12" s="367">
        <v>3.9</v>
      </c>
      <c r="I12" s="367">
        <v>5.2</v>
      </c>
      <c r="J12" s="367">
        <v>7.6</v>
      </c>
      <c r="K12" s="364"/>
      <c r="L12" s="364"/>
      <c r="M12" s="364"/>
      <c r="N12" s="364"/>
    </row>
    <row r="13" spans="2:29" hidden="1" x14ac:dyDescent="0.35">
      <c r="C13" s="364"/>
      <c r="D13" s="364"/>
      <c r="E13" s="365" t="s">
        <v>294</v>
      </c>
      <c r="F13" s="366">
        <f>AVERAGE(F9:F12)</f>
        <v>2.3249999999999997</v>
      </c>
      <c r="G13" s="366">
        <f>AVERAGE(G9:G12)</f>
        <v>3.05</v>
      </c>
      <c r="H13" s="366">
        <f>AVERAGE(H9:H12)</f>
        <v>3.85</v>
      </c>
      <c r="I13" s="366">
        <f>AVERAGE(I9:I12)</f>
        <v>4.7</v>
      </c>
      <c r="J13" s="366">
        <f>AVERAGE(J9:J12)</f>
        <v>7.4749999999999996</v>
      </c>
      <c r="K13" s="364"/>
      <c r="L13" s="364"/>
      <c r="M13" s="364"/>
      <c r="N13" s="364"/>
    </row>
    <row r="14" spans="2:29" hidden="1" x14ac:dyDescent="0.35">
      <c r="C14" s="364"/>
      <c r="D14" s="364"/>
      <c r="E14" s="365"/>
      <c r="F14" s="366"/>
      <c r="G14" s="367"/>
      <c r="H14" s="367"/>
      <c r="I14" s="367"/>
      <c r="J14" s="367"/>
      <c r="K14" s="364"/>
      <c r="L14" s="364"/>
      <c r="M14" s="364"/>
      <c r="N14" s="364"/>
      <c r="R14" s="368"/>
      <c r="S14" s="369"/>
    </row>
    <row r="15" spans="2:29" hidden="1" x14ac:dyDescent="0.35">
      <c r="C15" s="364"/>
      <c r="D15" s="364"/>
      <c r="E15" s="365" t="s">
        <v>295</v>
      </c>
      <c r="F15" s="366">
        <v>1.3</v>
      </c>
      <c r="G15" s="367">
        <v>2.1</v>
      </c>
      <c r="H15" s="367">
        <v>2.4</v>
      </c>
      <c r="I15" s="367">
        <v>3.7</v>
      </c>
      <c r="J15" s="367">
        <v>6.8</v>
      </c>
      <c r="K15" s="364"/>
      <c r="L15" s="364"/>
      <c r="M15" s="364"/>
      <c r="N15" s="364"/>
      <c r="R15" s="368"/>
      <c r="S15" s="369"/>
    </row>
    <row r="16" spans="2:29" hidden="1" x14ac:dyDescent="0.35">
      <c r="C16" s="364"/>
      <c r="D16" s="364"/>
      <c r="E16" s="365" t="s">
        <v>296</v>
      </c>
      <c r="F16" s="370">
        <v>1.4</v>
      </c>
      <c r="G16" s="370">
        <v>2.5</v>
      </c>
      <c r="H16" s="370">
        <v>2.9</v>
      </c>
      <c r="I16" s="370">
        <v>3.8</v>
      </c>
      <c r="J16" s="370">
        <v>6.5</v>
      </c>
      <c r="K16" s="364"/>
      <c r="L16" s="364"/>
      <c r="M16" s="364"/>
      <c r="N16" s="364"/>
      <c r="R16" s="368"/>
      <c r="S16" s="369"/>
    </row>
    <row r="17" spans="2:29" hidden="1" x14ac:dyDescent="0.35">
      <c r="C17" s="364"/>
      <c r="D17" s="364"/>
      <c r="E17" s="365" t="s">
        <v>297</v>
      </c>
      <c r="F17" s="370">
        <v>1.3</v>
      </c>
      <c r="G17" s="370">
        <v>2.1</v>
      </c>
      <c r="H17" s="370">
        <v>3.1</v>
      </c>
      <c r="I17" s="370">
        <v>3.7</v>
      </c>
      <c r="J17" s="370">
        <v>6.8</v>
      </c>
      <c r="K17" s="364"/>
      <c r="L17" s="364"/>
      <c r="M17" s="364"/>
      <c r="N17" s="364"/>
      <c r="R17" s="368"/>
      <c r="S17" s="369"/>
    </row>
    <row r="18" spans="2:29" hidden="1" x14ac:dyDescent="0.35">
      <c r="C18" s="364"/>
      <c r="D18" s="364"/>
      <c r="E18" s="365" t="s">
        <v>298</v>
      </c>
      <c r="F18" s="370">
        <v>1.2</v>
      </c>
      <c r="G18" s="370">
        <v>2</v>
      </c>
      <c r="H18" s="370">
        <v>3.1</v>
      </c>
      <c r="I18" s="370">
        <v>3.5</v>
      </c>
      <c r="J18" s="370">
        <v>7.1</v>
      </c>
      <c r="K18" s="364"/>
      <c r="L18" s="364"/>
      <c r="M18" s="364"/>
      <c r="N18" s="364"/>
      <c r="R18" s="368"/>
      <c r="S18" s="369"/>
    </row>
    <row r="19" spans="2:29" hidden="1" x14ac:dyDescent="0.35">
      <c r="C19" s="364"/>
      <c r="D19" s="364"/>
      <c r="E19" s="365" t="s">
        <v>294</v>
      </c>
      <c r="F19" s="366">
        <f>AVERAGE(F15:F18)</f>
        <v>1.3</v>
      </c>
      <c r="G19" s="366">
        <f>AVERAGE(G15:G18)</f>
        <v>2.1749999999999998</v>
      </c>
      <c r="H19" s="366">
        <f>AVERAGE(H15:H18)</f>
        <v>2.875</v>
      </c>
      <c r="I19" s="366">
        <f>AVERAGE(I15:I18)</f>
        <v>3.6749999999999998</v>
      </c>
      <c r="J19" s="366">
        <f>AVERAGE(J15:J18)</f>
        <v>6.8000000000000007</v>
      </c>
      <c r="K19" s="364"/>
      <c r="L19" s="364"/>
      <c r="M19" s="364"/>
      <c r="N19" s="364"/>
    </row>
    <row r="20" spans="2:29" hidden="1" x14ac:dyDescent="0.35">
      <c r="C20" s="364"/>
      <c r="D20" s="364"/>
      <c r="E20" s="365"/>
      <c r="F20" s="370"/>
      <c r="G20" s="370"/>
      <c r="H20" s="370"/>
      <c r="I20" s="370"/>
      <c r="J20" s="370"/>
      <c r="K20" s="364"/>
      <c r="L20" s="364"/>
      <c r="M20" s="364"/>
      <c r="N20" s="364"/>
    </row>
    <row r="21" spans="2:29" hidden="1" x14ac:dyDescent="0.35">
      <c r="C21" s="364"/>
      <c r="D21" s="364"/>
      <c r="E21" s="365" t="s">
        <v>299</v>
      </c>
      <c r="F21" s="371">
        <v>0.06</v>
      </c>
      <c r="G21" s="371">
        <v>0.06</v>
      </c>
      <c r="H21" s="371">
        <v>0.05</v>
      </c>
      <c r="I21" s="371">
        <v>0.04</v>
      </c>
      <c r="J21" s="371">
        <v>0.03</v>
      </c>
      <c r="K21" s="364"/>
      <c r="L21" s="364"/>
      <c r="M21" s="364"/>
      <c r="N21" s="364"/>
    </row>
    <row r="22" spans="2:29" hidden="1" x14ac:dyDescent="0.35">
      <c r="C22" s="364"/>
      <c r="D22" s="364"/>
      <c r="E22" s="365" t="s">
        <v>300</v>
      </c>
      <c r="F22" s="371">
        <v>0.1</v>
      </c>
      <c r="G22" s="371">
        <v>0.1</v>
      </c>
      <c r="H22" s="371">
        <v>0.08</v>
      </c>
      <c r="I22" s="371">
        <v>7.0000000000000007E-2</v>
      </c>
      <c r="J22" s="371">
        <v>0.06</v>
      </c>
      <c r="K22" s="364"/>
      <c r="L22" s="364"/>
      <c r="M22" s="364"/>
      <c r="N22" s="364"/>
    </row>
    <row r="23" spans="2:29" hidden="1" x14ac:dyDescent="0.35">
      <c r="C23" s="364"/>
      <c r="D23" s="364"/>
      <c r="E23" s="365" t="s">
        <v>301</v>
      </c>
      <c r="F23" s="371">
        <v>0.5</v>
      </c>
      <c r="G23" s="372">
        <v>0.45</v>
      </c>
      <c r="H23" s="372">
        <v>0.4</v>
      </c>
      <c r="I23" s="372">
        <v>0.4</v>
      </c>
      <c r="J23" s="372">
        <v>0.35</v>
      </c>
      <c r="K23" s="364"/>
      <c r="L23" s="364"/>
      <c r="M23" s="364"/>
      <c r="N23" s="364"/>
    </row>
    <row r="24" spans="2:29" ht="13" hidden="1" thickBot="1" x14ac:dyDescent="0.4">
      <c r="C24" s="364"/>
      <c r="D24" s="364"/>
      <c r="E24" s="365" t="s">
        <v>229</v>
      </c>
      <c r="F24" s="372">
        <v>0.75</v>
      </c>
      <c r="G24" s="372">
        <v>0.65</v>
      </c>
      <c r="H24" s="372">
        <v>0.55000000000000004</v>
      </c>
      <c r="I24" s="372">
        <v>0.55000000000000004</v>
      </c>
      <c r="J24" s="372">
        <v>0.45</v>
      </c>
      <c r="K24" s="364"/>
      <c r="L24" s="364"/>
      <c r="M24" s="364"/>
      <c r="N24" s="364"/>
    </row>
    <row r="25" spans="2:29" ht="15" thickBot="1" x14ac:dyDescent="0.4">
      <c r="B25" s="373" t="s">
        <v>302</v>
      </c>
      <c r="C25" s="374"/>
      <c r="D25" s="375"/>
      <c r="E25" s="376"/>
      <c r="F25" s="376"/>
      <c r="G25" s="376"/>
      <c r="H25" s="376"/>
      <c r="I25" s="376"/>
      <c r="J25" s="377"/>
      <c r="K25" s="378">
        <f>1.3*$C25</f>
        <v>0</v>
      </c>
      <c r="L25" s="378">
        <f>1.3*$C25</f>
        <v>0</v>
      </c>
      <c r="M25" s="379">
        <f>1.3*$C25</f>
        <v>0</v>
      </c>
      <c r="N25" s="356"/>
      <c r="O25" s="378">
        <f>1.3*$C25</f>
        <v>0</v>
      </c>
      <c r="P25" s="378">
        <f>1.3*$C25</f>
        <v>0</v>
      </c>
      <c r="Q25" s="379">
        <f>1.3*$C25</f>
        <v>0</v>
      </c>
      <c r="S25" s="378">
        <f>1.3*$C25</f>
        <v>0</v>
      </c>
      <c r="T25" s="378">
        <f>1.3*$C25</f>
        <v>0</v>
      </c>
      <c r="U25" s="379">
        <f>1.3*$C25</f>
        <v>0</v>
      </c>
      <c r="W25" s="378">
        <f>1.3*$C25</f>
        <v>0</v>
      </c>
      <c r="X25" s="378">
        <f>1.3*$C25</f>
        <v>0</v>
      </c>
      <c r="Y25" s="379">
        <f>1.3*$C25</f>
        <v>0</v>
      </c>
      <c r="AA25" s="378">
        <f>1.3*$C25</f>
        <v>0</v>
      </c>
      <c r="AB25" s="378">
        <f>1.3*$C25</f>
        <v>0</v>
      </c>
      <c r="AC25" s="379">
        <f>1.3*$C25</f>
        <v>0</v>
      </c>
    </row>
    <row r="26" spans="2:29" ht="15" thickBot="1" x14ac:dyDescent="0.4">
      <c r="B26" s="167" t="s">
        <v>212</v>
      </c>
      <c r="C26" s="380"/>
      <c r="D26" s="381"/>
      <c r="E26" s="380"/>
      <c r="F26" s="382"/>
      <c r="G26" s="374"/>
      <c r="H26" s="374"/>
      <c r="I26" s="374"/>
      <c r="J26" s="383"/>
      <c r="K26" s="384">
        <f t="array" ref="K26">SUM($F26:$J26*$F$13:$J$13)-$K25*(1-IF($D25=0,1,$D25))-$K27*(1-IF($D27=0,1,$D27))</f>
        <v>0</v>
      </c>
      <c r="L26" s="384">
        <f t="array" ref="L26">SUM($F26:$J26*$F$13:$J$13)-$K25*0.99-$K27*0.99</f>
        <v>0</v>
      </c>
      <c r="M26" s="384">
        <f t="array" ref="M26">SUM($F26:$J26*$F$13:$J$13)</f>
        <v>0</v>
      </c>
      <c r="N26" s="384"/>
      <c r="O26" s="384">
        <f t="array" ref="O26">SUM($F26:$J26*$F$9:$J$9)-$K25*(1-IF($D25=0,1,$D25))-$K27*(1-IF($D27=0,1,$D27))</f>
        <v>0</v>
      </c>
      <c r="P26" s="384">
        <f t="array" ref="P26">SUM($F26:$J26*$F$9:$J$9)-$K25*0.99-$K27*0.99</f>
        <v>0</v>
      </c>
      <c r="Q26" s="384">
        <f t="array" ref="Q26">SUM($F26:$J26*$F$9:$J$9)</f>
        <v>0</v>
      </c>
      <c r="S26" s="384">
        <f t="array" ref="S26">SUM($F26:$J26*$F$10:$J$10)-$K25*(1-IF($D25=0,1,$D25))-$K27*(1-IF($D27=0,1,$D27))</f>
        <v>0</v>
      </c>
      <c r="T26" s="384">
        <f t="array" ref="T26">SUM($F26:$J26*$F$10:$J$10)-$K25*0.99-$K27*0.99</f>
        <v>0</v>
      </c>
      <c r="U26" s="384">
        <f t="array" ref="U26">SUM($F26:$J26*$F$10:$J$10)</f>
        <v>0</v>
      </c>
      <c r="W26" s="384">
        <f t="array" ref="W26">SUM($F26:$J26*$F$11:$J$11)-$K25*(1-IF($D25=0,1,$D25))-$K27*(1-IF($D27=0,1,$D27))</f>
        <v>0</v>
      </c>
      <c r="X26" s="384">
        <f t="array" ref="X26">SUM($F26:$J26*$F$11:$J$11)-$K25*0.99-$K27*0.99</f>
        <v>0</v>
      </c>
      <c r="Y26" s="384">
        <f t="array" ref="Y26">SUM($F26:$J26*$F$11:$J$11)</f>
        <v>0</v>
      </c>
      <c r="AA26" s="384">
        <f t="array" ref="AA26">SUM($F26:$J26*$F$12:$J$12)-$K25*(1-IF($D25=0,1,$D25))-$K27*(1-IF($D27=0,1,$D27))</f>
        <v>0</v>
      </c>
      <c r="AB26" s="384">
        <f t="array" ref="AB26">SUM($F26:$J26*$F$12:$J$12)-$K25*0.99-$K27*0.99</f>
        <v>0</v>
      </c>
      <c r="AC26" s="384">
        <f t="array" ref="AC26">SUM($F26:$J26*$F$12:$J$12)</f>
        <v>0</v>
      </c>
    </row>
    <row r="27" spans="2:29" ht="14.5" x14ac:dyDescent="0.35">
      <c r="B27" s="385" t="s">
        <v>213</v>
      </c>
      <c r="C27" s="386"/>
      <c r="D27" s="387"/>
      <c r="E27" s="388"/>
      <c r="F27" s="389"/>
      <c r="G27" s="389"/>
      <c r="H27" s="389"/>
      <c r="I27" s="389"/>
      <c r="J27" s="390"/>
      <c r="K27" s="391">
        <f>$C27*1.3</f>
        <v>0</v>
      </c>
      <c r="L27" s="391">
        <f>K27</f>
        <v>0</v>
      </c>
      <c r="M27" s="392">
        <f>K27</f>
        <v>0</v>
      </c>
      <c r="N27" s="356"/>
      <c r="O27" s="391">
        <f>$C27*1.3</f>
        <v>0</v>
      </c>
      <c r="P27" s="391">
        <f>O27</f>
        <v>0</v>
      </c>
      <c r="Q27" s="392">
        <f>O27</f>
        <v>0</v>
      </c>
      <c r="S27" s="391">
        <f>$C27*1.3</f>
        <v>0</v>
      </c>
      <c r="T27" s="391">
        <f>S27</f>
        <v>0</v>
      </c>
      <c r="U27" s="392">
        <f>S27</f>
        <v>0</v>
      </c>
      <c r="W27" s="391">
        <f>$C27*1.3</f>
        <v>0</v>
      </c>
      <c r="X27" s="391">
        <f>W27</f>
        <v>0</v>
      </c>
      <c r="Y27" s="392">
        <f>W27</f>
        <v>0</v>
      </c>
      <c r="AA27" s="391">
        <f>$C27*1.3</f>
        <v>0</v>
      </c>
      <c r="AB27" s="391">
        <f>AA27</f>
        <v>0</v>
      </c>
      <c r="AC27" s="392">
        <f>AA27</f>
        <v>0</v>
      </c>
    </row>
    <row r="28" spans="2:29" ht="14.5" x14ac:dyDescent="0.35">
      <c r="B28" s="393" t="s">
        <v>210</v>
      </c>
      <c r="C28" s="394"/>
      <c r="D28" s="395"/>
      <c r="E28" s="396"/>
      <c r="F28" s="380"/>
      <c r="G28" s="380"/>
      <c r="H28" s="380"/>
      <c r="I28" s="380"/>
      <c r="J28" s="397"/>
      <c r="K28" s="398">
        <f>$E28</f>
        <v>0</v>
      </c>
      <c r="L28" s="398">
        <f>K28</f>
        <v>0</v>
      </c>
      <c r="M28" s="399">
        <f>K28</f>
        <v>0</v>
      </c>
      <c r="N28" s="356"/>
      <c r="O28" s="398">
        <f>$E28</f>
        <v>0</v>
      </c>
      <c r="P28" s="398">
        <f>O28</f>
        <v>0</v>
      </c>
      <c r="Q28" s="399">
        <f>O28</f>
        <v>0</v>
      </c>
      <c r="S28" s="398">
        <f>$E28</f>
        <v>0</v>
      </c>
      <c r="T28" s="398">
        <f>S28</f>
        <v>0</v>
      </c>
      <c r="U28" s="399">
        <f>S28</f>
        <v>0</v>
      </c>
      <c r="W28" s="398">
        <f>$E28</f>
        <v>0</v>
      </c>
      <c r="X28" s="398">
        <f>W28</f>
        <v>0</v>
      </c>
      <c r="Y28" s="399">
        <f>W28</f>
        <v>0</v>
      </c>
      <c r="AA28" s="398">
        <f>$E28</f>
        <v>0</v>
      </c>
      <c r="AB28" s="398">
        <f>AA28</f>
        <v>0</v>
      </c>
      <c r="AC28" s="399">
        <f>AA28</f>
        <v>0</v>
      </c>
    </row>
    <row r="29" spans="2:29" ht="15" thickBot="1" x14ac:dyDescent="0.4">
      <c r="B29" s="400" t="s">
        <v>214</v>
      </c>
      <c r="C29" s="401"/>
      <c r="D29" s="402"/>
      <c r="E29" s="403"/>
      <c r="F29" s="404"/>
      <c r="G29" s="404"/>
      <c r="H29" s="404"/>
      <c r="I29" s="404"/>
      <c r="J29" s="405"/>
      <c r="K29" s="406">
        <f>$C29*1.3</f>
        <v>0</v>
      </c>
      <c r="L29" s="406">
        <f>K29</f>
        <v>0</v>
      </c>
      <c r="M29" s="407">
        <f>K29</f>
        <v>0</v>
      </c>
      <c r="N29" s="356"/>
      <c r="O29" s="406">
        <f>$C29*1.3</f>
        <v>0</v>
      </c>
      <c r="P29" s="406">
        <f>O29</f>
        <v>0</v>
      </c>
      <c r="Q29" s="407">
        <f>O29</f>
        <v>0</v>
      </c>
      <c r="S29" s="406">
        <f>$C29*1.3</f>
        <v>0</v>
      </c>
      <c r="T29" s="406">
        <f>S29</f>
        <v>0</v>
      </c>
      <c r="U29" s="407">
        <f>S29</f>
        <v>0</v>
      </c>
      <c r="W29" s="406">
        <f>$C29*1.3</f>
        <v>0</v>
      </c>
      <c r="X29" s="406">
        <f>W29</f>
        <v>0</v>
      </c>
      <c r="Y29" s="407">
        <f>W29</f>
        <v>0</v>
      </c>
      <c r="AA29" s="406">
        <f>$C29*1.3</f>
        <v>0</v>
      </c>
      <c r="AB29" s="406">
        <f>AA29</f>
        <v>0</v>
      </c>
      <c r="AC29" s="407">
        <f>AA29</f>
        <v>0</v>
      </c>
    </row>
    <row r="30" spans="2:29" ht="15" thickBot="1" x14ac:dyDescent="0.4">
      <c r="B30" s="167" t="s">
        <v>212</v>
      </c>
      <c r="C30" s="380"/>
      <c r="D30" s="381"/>
      <c r="E30" s="380"/>
      <c r="F30" s="382"/>
      <c r="G30" s="374"/>
      <c r="H30" s="374"/>
      <c r="I30" s="374"/>
      <c r="J30" s="383"/>
      <c r="K30" s="384">
        <f t="array" ref="K30">SUM($F30:$J30*$F$13:$J$13)-$K29*(1-IF($D29=0,1,$D29))-$K31*(1-IF($D31=0,1,$D31))</f>
        <v>0</v>
      </c>
      <c r="L30" s="384">
        <f t="array" ref="L30">SUM($F30:$J30*$F$13:$J$13)-$K29*0.99-$K31*0.99</f>
        <v>0</v>
      </c>
      <c r="M30" s="384">
        <f t="array" ref="M30">SUM($F30:$J30*$F$13:$J$13)</f>
        <v>0</v>
      </c>
      <c r="N30" s="384"/>
      <c r="O30" s="384">
        <f t="array" ref="O30">SUM($F30:$J30*$F$9:$J$9)-$K29*(1-IF($D29=0,1,$D29))-$K31*(1-IF($D31=0,1,$D31))</f>
        <v>0</v>
      </c>
      <c r="P30" s="384">
        <f t="array" ref="P30">SUM($F30:$J30*$F$9:$J$9)-$K29*0.99-$K31*0.99</f>
        <v>0</v>
      </c>
      <c r="Q30" s="384">
        <f t="array" ref="Q30">SUM($F30:$J30*$F$9:$J$9)</f>
        <v>0</v>
      </c>
      <c r="S30" s="384">
        <f t="array" ref="S30">SUM($F30:$J30*$F$10:$J$10)-$K29*(1-IF($D29=0,1,$D29))-$K31*(1-IF($D31=0,1,$D31))</f>
        <v>0</v>
      </c>
      <c r="T30" s="384">
        <f t="array" ref="T30">SUM($F30:$J30*$F$10:$J$10)-$K29*0.99-$K31*0.99</f>
        <v>0</v>
      </c>
      <c r="U30" s="384">
        <f t="array" ref="U30">SUM($F30:$J30*$F$10:$J$10)</f>
        <v>0</v>
      </c>
      <c r="W30" s="384">
        <f t="array" ref="W30">SUM($F30:$J30*$F$11:$J$11)-$K29*(1-IF($D29=0,1,$D29))-$K31*(1-IF($D31=0,1,$D31))</f>
        <v>0</v>
      </c>
      <c r="X30" s="384">
        <f t="array" ref="X30">SUM($F30:$J30*$F$11:$J$11)-$K29*0.99-$K31*0.99</f>
        <v>0</v>
      </c>
      <c r="Y30" s="384">
        <f t="array" ref="Y30">SUM($F30:$J30*$F$11:$J$11)</f>
        <v>0</v>
      </c>
      <c r="AA30" s="384">
        <f t="array" ref="AA30">SUM($F30:$J30*$F$12:$J$12)-$K29*(1-IF($D29=0,1,$D29))-$K31*(1-IF($D31=0,1,$D31))</f>
        <v>0</v>
      </c>
      <c r="AB30" s="384">
        <f t="array" ref="AB30">SUM($F30:$J30*$F$12:$J$12)-$K29*0.99-$K31*0.99</f>
        <v>0</v>
      </c>
      <c r="AC30" s="384">
        <f t="array" ref="AC30">SUM($F30:$J30*$F$12:$J$12)</f>
        <v>0</v>
      </c>
    </row>
    <row r="31" spans="2:29" ht="14.5" x14ac:dyDescent="0.35">
      <c r="B31" s="385" t="s">
        <v>215</v>
      </c>
      <c r="C31" s="386"/>
      <c r="D31" s="387"/>
      <c r="E31" s="388"/>
      <c r="F31" s="389"/>
      <c r="G31" s="389"/>
      <c r="H31" s="389"/>
      <c r="I31" s="389"/>
      <c r="J31" s="390"/>
      <c r="K31" s="391">
        <f>$C31*1.3</f>
        <v>0</v>
      </c>
      <c r="L31" s="391">
        <f>K31</f>
        <v>0</v>
      </c>
      <c r="M31" s="392">
        <f>K31</f>
        <v>0</v>
      </c>
      <c r="N31" s="356"/>
      <c r="O31" s="391">
        <f>$C31*1.3</f>
        <v>0</v>
      </c>
      <c r="P31" s="391">
        <f>O31</f>
        <v>0</v>
      </c>
      <c r="Q31" s="392">
        <f>O31</f>
        <v>0</v>
      </c>
      <c r="S31" s="391">
        <f>$C31*1.3</f>
        <v>0</v>
      </c>
      <c r="T31" s="391">
        <f>S31</f>
        <v>0</v>
      </c>
      <c r="U31" s="392">
        <f>S31</f>
        <v>0</v>
      </c>
      <c r="W31" s="391">
        <f>$C31*1.3</f>
        <v>0</v>
      </c>
      <c r="X31" s="391">
        <f>W31</f>
        <v>0</v>
      </c>
      <c r="Y31" s="392">
        <f>W31</f>
        <v>0</v>
      </c>
      <c r="AA31" s="391">
        <f>$C31*1.3</f>
        <v>0</v>
      </c>
      <c r="AB31" s="391">
        <f>AA31</f>
        <v>0</v>
      </c>
      <c r="AC31" s="392">
        <f>AA31</f>
        <v>0</v>
      </c>
    </row>
    <row r="32" spans="2:29" ht="14.5" x14ac:dyDescent="0.35">
      <c r="B32" s="393" t="s">
        <v>210</v>
      </c>
      <c r="C32" s="394"/>
      <c r="D32" s="395"/>
      <c r="E32" s="396"/>
      <c r="F32" s="380"/>
      <c r="G32" s="380"/>
      <c r="H32" s="380"/>
      <c r="I32" s="380"/>
      <c r="J32" s="397"/>
      <c r="K32" s="398">
        <f>$E32</f>
        <v>0</v>
      </c>
      <c r="L32" s="398">
        <f>K32</f>
        <v>0</v>
      </c>
      <c r="M32" s="399">
        <f>K32</f>
        <v>0</v>
      </c>
      <c r="N32" s="356"/>
      <c r="O32" s="398">
        <f>$E32</f>
        <v>0</v>
      </c>
      <c r="P32" s="398">
        <f>O32</f>
        <v>0</v>
      </c>
      <c r="Q32" s="399">
        <f>O32</f>
        <v>0</v>
      </c>
      <c r="S32" s="398">
        <f>$E32</f>
        <v>0</v>
      </c>
      <c r="T32" s="398">
        <f>S32</f>
        <v>0</v>
      </c>
      <c r="U32" s="399">
        <f>S32</f>
        <v>0</v>
      </c>
      <c r="W32" s="398">
        <f>$E32</f>
        <v>0</v>
      </c>
      <c r="X32" s="398">
        <f>W32</f>
        <v>0</v>
      </c>
      <c r="Y32" s="399">
        <f>W32</f>
        <v>0</v>
      </c>
      <c r="AA32" s="398">
        <f>$E32</f>
        <v>0</v>
      </c>
      <c r="AB32" s="398">
        <f>AA32</f>
        <v>0</v>
      </c>
      <c r="AC32" s="399">
        <f>AA32</f>
        <v>0</v>
      </c>
    </row>
    <row r="33" spans="2:29" ht="15" thickBot="1" x14ac:dyDescent="0.4">
      <c r="B33" s="400" t="s">
        <v>216</v>
      </c>
      <c r="C33" s="401"/>
      <c r="D33" s="402"/>
      <c r="E33" s="403"/>
      <c r="F33" s="404"/>
      <c r="G33" s="404"/>
      <c r="H33" s="404"/>
      <c r="I33" s="404"/>
      <c r="J33" s="405"/>
      <c r="K33" s="406">
        <f>$C33*1.3</f>
        <v>0</v>
      </c>
      <c r="L33" s="406">
        <f>K33</f>
        <v>0</v>
      </c>
      <c r="M33" s="407">
        <f>K33</f>
        <v>0</v>
      </c>
      <c r="N33" s="356"/>
      <c r="O33" s="406">
        <f>$C33*1.3</f>
        <v>0</v>
      </c>
      <c r="P33" s="406">
        <f>O33</f>
        <v>0</v>
      </c>
      <c r="Q33" s="407">
        <f>O33</f>
        <v>0</v>
      </c>
      <c r="S33" s="406">
        <f>$C33*1.3</f>
        <v>0</v>
      </c>
      <c r="T33" s="406">
        <f>S33</f>
        <v>0</v>
      </c>
      <c r="U33" s="407">
        <f>S33</f>
        <v>0</v>
      </c>
      <c r="W33" s="406">
        <f>$C33*1.3</f>
        <v>0</v>
      </c>
      <c r="X33" s="406">
        <f>W33</f>
        <v>0</v>
      </c>
      <c r="Y33" s="407">
        <f>W33</f>
        <v>0</v>
      </c>
      <c r="AA33" s="406">
        <f>$C33*1.3</f>
        <v>0</v>
      </c>
      <c r="AB33" s="406">
        <f>AA33</f>
        <v>0</v>
      </c>
      <c r="AC33" s="407">
        <f>AA33</f>
        <v>0</v>
      </c>
    </row>
    <row r="34" spans="2:29" ht="15" thickBot="1" x14ac:dyDescent="0.4">
      <c r="B34" s="167" t="s">
        <v>212</v>
      </c>
      <c r="C34" s="380"/>
      <c r="D34" s="381"/>
      <c r="E34" s="380"/>
      <c r="F34" s="382"/>
      <c r="G34" s="374"/>
      <c r="H34" s="374"/>
      <c r="I34" s="374"/>
      <c r="J34" s="383"/>
      <c r="K34" s="384">
        <f t="array" ref="K34">SUM($F34:$J34*$F$13:$J$13)-$K33*(1-IF($D33=0,1,$D33))-$K35*(1-IF($D35=0,1,$D35))</f>
        <v>0</v>
      </c>
      <c r="L34" s="384">
        <f t="array" ref="L34">SUM($F34:$J34*$F$13:$J$13)-$K33*0.99-$K35*0.99</f>
        <v>0</v>
      </c>
      <c r="M34" s="384">
        <f t="array" ref="M34">SUM($F34:$J34*$F$13:$J$13)</f>
        <v>0</v>
      </c>
      <c r="N34" s="384"/>
      <c r="O34" s="384">
        <f t="array" ref="O34">SUM($F34:$J34*$F$9:$J$9)-$K33*(1-IF($D33=0,1,$D33))-$K35*(1-IF($D35=0,1,$D35))</f>
        <v>0</v>
      </c>
      <c r="P34" s="384">
        <f t="array" ref="P34">SUM($F34:$J34*$F$9:$J$9)-$K33*0.99-$K35*0.99</f>
        <v>0</v>
      </c>
      <c r="Q34" s="384">
        <f t="array" ref="Q34">SUM($F34:$J34*$F$9:$J$9)</f>
        <v>0</v>
      </c>
      <c r="S34" s="384">
        <f t="array" ref="S34">SUM($F34:$J34*$F$10:$J$10)-$K33*(1-IF($D33=0,1,$D33))-$K35*(1-IF($D35=0,1,$D35))</f>
        <v>0</v>
      </c>
      <c r="T34" s="384">
        <f t="array" ref="T34">SUM($F34:$J34*$F$10:$J$10)-$K33*0.99-$K35*0.99</f>
        <v>0</v>
      </c>
      <c r="U34" s="384">
        <f t="array" ref="U34">SUM($F34:$J34*$F$10:$J$10)</f>
        <v>0</v>
      </c>
      <c r="W34" s="384">
        <f t="array" ref="W34">SUM($F34:$J34*$F$11:$J$11)-$K33*(1-IF($D33=0,1,$D33))-$K35*(1-IF($D35=0,1,$D35))</f>
        <v>0</v>
      </c>
      <c r="X34" s="384">
        <f t="array" ref="X34">SUM($F34:$J34*$F$11:$J$11)-$K33*0.99-$K35*0.99</f>
        <v>0</v>
      </c>
      <c r="Y34" s="384">
        <f t="array" ref="Y34">SUM($F34:$J34*$F$11:$J$11)</f>
        <v>0</v>
      </c>
      <c r="AA34" s="384">
        <f t="array" ref="AA34">SUM($F34:$J34*$F$12:$J$12)-$K33*(1-IF($D33=0,1,$D33))-$K35*(1-IF($D35=0,1,$D35))</f>
        <v>0</v>
      </c>
      <c r="AB34" s="384">
        <f t="array" ref="AB34">SUM($F34:$J34*$F$12:$J$12)-$K33*0.99-$K35*0.99</f>
        <v>0</v>
      </c>
      <c r="AC34" s="384">
        <f t="array" ref="AC34">SUM($F34:$J34*$F$12:$J$12)</f>
        <v>0</v>
      </c>
    </row>
    <row r="35" spans="2:29" ht="14.5" x14ac:dyDescent="0.35">
      <c r="B35" s="385" t="s">
        <v>217</v>
      </c>
      <c r="C35" s="386"/>
      <c r="D35" s="387"/>
      <c r="E35" s="388"/>
      <c r="F35" s="389"/>
      <c r="G35" s="389"/>
      <c r="H35" s="389"/>
      <c r="I35" s="389"/>
      <c r="J35" s="390"/>
      <c r="K35" s="391">
        <f>$C35*1.3</f>
        <v>0</v>
      </c>
      <c r="L35" s="391">
        <f>K35</f>
        <v>0</v>
      </c>
      <c r="M35" s="392">
        <f>K35</f>
        <v>0</v>
      </c>
      <c r="N35" s="356"/>
      <c r="O35" s="391">
        <f>$C35*1.3</f>
        <v>0</v>
      </c>
      <c r="P35" s="391">
        <f>O35</f>
        <v>0</v>
      </c>
      <c r="Q35" s="392">
        <f>O35</f>
        <v>0</v>
      </c>
      <c r="S35" s="391">
        <f>$C35*1.3</f>
        <v>0</v>
      </c>
      <c r="T35" s="391">
        <f>S35</f>
        <v>0</v>
      </c>
      <c r="U35" s="392">
        <f>S35</f>
        <v>0</v>
      </c>
      <c r="W35" s="391">
        <f>$C35*1.3</f>
        <v>0</v>
      </c>
      <c r="X35" s="391">
        <f>W35</f>
        <v>0</v>
      </c>
      <c r="Y35" s="392">
        <f>W35</f>
        <v>0</v>
      </c>
      <c r="AA35" s="391">
        <f>$C35*1.3</f>
        <v>0</v>
      </c>
      <c r="AB35" s="391">
        <f>AA35</f>
        <v>0</v>
      </c>
      <c r="AC35" s="392">
        <f>AA35</f>
        <v>0</v>
      </c>
    </row>
    <row r="36" spans="2:29" ht="14.5" x14ac:dyDescent="0.35">
      <c r="B36" s="393" t="s">
        <v>210</v>
      </c>
      <c r="C36" s="394"/>
      <c r="D36" s="395"/>
      <c r="E36" s="396"/>
      <c r="F36" s="380"/>
      <c r="G36" s="380"/>
      <c r="H36" s="380"/>
      <c r="I36" s="380"/>
      <c r="J36" s="397"/>
      <c r="K36" s="398">
        <f>$E36</f>
        <v>0</v>
      </c>
      <c r="L36" s="398">
        <f>K36</f>
        <v>0</v>
      </c>
      <c r="M36" s="399">
        <f>K36</f>
        <v>0</v>
      </c>
      <c r="N36" s="356"/>
      <c r="O36" s="398">
        <f>$E36</f>
        <v>0</v>
      </c>
      <c r="P36" s="398">
        <f>O36</f>
        <v>0</v>
      </c>
      <c r="Q36" s="399">
        <f>O36</f>
        <v>0</v>
      </c>
      <c r="S36" s="398">
        <f>$E36</f>
        <v>0</v>
      </c>
      <c r="T36" s="398">
        <f>S36</f>
        <v>0</v>
      </c>
      <c r="U36" s="399">
        <f>S36</f>
        <v>0</v>
      </c>
      <c r="W36" s="398">
        <f>$E36</f>
        <v>0</v>
      </c>
      <c r="X36" s="398">
        <f>W36</f>
        <v>0</v>
      </c>
      <c r="Y36" s="399">
        <f>W36</f>
        <v>0</v>
      </c>
      <c r="AA36" s="398">
        <f>$E36</f>
        <v>0</v>
      </c>
      <c r="AB36" s="398">
        <f>AA36</f>
        <v>0</v>
      </c>
      <c r="AC36" s="399">
        <f>AA36</f>
        <v>0</v>
      </c>
    </row>
    <row r="37" spans="2:29" ht="15" thickBot="1" x14ac:dyDescent="0.4">
      <c r="B37" s="400" t="s">
        <v>218</v>
      </c>
      <c r="C37" s="401"/>
      <c r="D37" s="402"/>
      <c r="E37" s="403"/>
      <c r="F37" s="404"/>
      <c r="G37" s="404"/>
      <c r="H37" s="404"/>
      <c r="I37" s="404"/>
      <c r="J37" s="405"/>
      <c r="K37" s="406">
        <f>$C37*1.3</f>
        <v>0</v>
      </c>
      <c r="L37" s="406">
        <f>K37</f>
        <v>0</v>
      </c>
      <c r="M37" s="407">
        <f>K37</f>
        <v>0</v>
      </c>
      <c r="N37" s="356"/>
      <c r="O37" s="406">
        <f>$C37*1.3</f>
        <v>0</v>
      </c>
      <c r="P37" s="406">
        <f>O37</f>
        <v>0</v>
      </c>
      <c r="Q37" s="407">
        <f>O37</f>
        <v>0</v>
      </c>
      <c r="S37" s="406">
        <f>$C37*1.3</f>
        <v>0</v>
      </c>
      <c r="T37" s="406">
        <f>S37</f>
        <v>0</v>
      </c>
      <c r="U37" s="407">
        <f>S37</f>
        <v>0</v>
      </c>
      <c r="W37" s="406">
        <f>$C37*1.3</f>
        <v>0</v>
      </c>
      <c r="X37" s="406">
        <f>W37</f>
        <v>0</v>
      </c>
      <c r="Y37" s="407">
        <f>W37</f>
        <v>0</v>
      </c>
      <c r="AA37" s="406">
        <f>$C37*1.3</f>
        <v>0</v>
      </c>
      <c r="AB37" s="406">
        <f>AA37</f>
        <v>0</v>
      </c>
      <c r="AC37" s="407">
        <f>AA37</f>
        <v>0</v>
      </c>
    </row>
    <row r="38" spans="2:29" ht="15" thickBot="1" x14ac:dyDescent="0.4">
      <c r="B38" s="167" t="s">
        <v>212</v>
      </c>
      <c r="C38" s="380"/>
      <c r="D38" s="381"/>
      <c r="E38" s="380"/>
      <c r="F38" s="382"/>
      <c r="G38" s="374"/>
      <c r="H38" s="374"/>
      <c r="I38" s="374"/>
      <c r="J38" s="383"/>
      <c r="K38" s="384">
        <f t="array" ref="K38">SUM($F38:$J38*$F$13:$J$13)-$K37*(1-IF($D37=0,1,$D37))-$K39*(1-IF($D39=0,1,$D39))</f>
        <v>0</v>
      </c>
      <c r="L38" s="384">
        <f t="array" ref="L38">SUM($F38:$J38*$F$13:$J$13)-$K37*0.99-$K39*0.99</f>
        <v>0</v>
      </c>
      <c r="M38" s="384">
        <f t="array" ref="M38">SUM($F38:$J38*$F$13:$J$13)</f>
        <v>0</v>
      </c>
      <c r="N38" s="384"/>
      <c r="O38" s="384">
        <f t="array" ref="O38">SUM($F38:$J38*$F$9:$J$9)-$K37*(1-IF($D37=0,1,$D37))-$K39*(1-IF($D39=0,1,$D39))</f>
        <v>0</v>
      </c>
      <c r="P38" s="384">
        <f t="array" ref="P38">SUM($F38:$J38*$F$9:$J$9)-$K37*0.99-$K39*0.99</f>
        <v>0</v>
      </c>
      <c r="Q38" s="384">
        <f t="array" ref="Q38">SUM($F38:$J38*$F$9:$J$9)</f>
        <v>0</v>
      </c>
      <c r="S38" s="384">
        <f t="array" ref="S38">SUM($F38:$J38*$F$10:$J$10)-$K37*(1-IF($D37=0,1,$D37))-$K39*(1-IF($D39=0,1,$D39))</f>
        <v>0</v>
      </c>
      <c r="T38" s="384">
        <f t="array" ref="T38">SUM($F38:$J38*$F$10:$J$10)-$K37*0.99-$K39*0.99</f>
        <v>0</v>
      </c>
      <c r="U38" s="384">
        <f t="array" ref="U38">SUM($F38:$J38*$F$10:$J$10)</f>
        <v>0</v>
      </c>
      <c r="W38" s="384">
        <f t="array" ref="W38">SUM($F38:$J38*$F$11:$J$11)-$K37*(1-IF($D37=0,1,$D37))-$K39*(1-IF($D39=0,1,$D39))</f>
        <v>0</v>
      </c>
      <c r="X38" s="384">
        <f t="array" ref="X38">SUM($F38:$J38*$F$11:$J$11)-$K37*0.99-$K39*0.99</f>
        <v>0</v>
      </c>
      <c r="Y38" s="384">
        <f t="array" ref="Y38">SUM($F38:$J38*$F$11:$J$11)</f>
        <v>0</v>
      </c>
      <c r="AA38" s="384">
        <f t="array" ref="AA38">SUM($F38:$J38*$F$12:$J$12)-$K37*(1-IF($D37=0,1,$D37))-$K39*(1-IF($D39=0,1,$D39))</f>
        <v>0</v>
      </c>
      <c r="AB38" s="384">
        <f t="array" ref="AB38">SUM($F38:$J38*$F$12:$J$12)-$K37*0.99-$K39*0.99</f>
        <v>0</v>
      </c>
      <c r="AC38" s="384">
        <f t="array" ref="AC38">SUM($F38:$J38*$F$12:$J$12)</f>
        <v>0</v>
      </c>
    </row>
    <row r="39" spans="2:29" ht="14.5" x14ac:dyDescent="0.35">
      <c r="B39" s="385" t="s">
        <v>219</v>
      </c>
      <c r="C39" s="386"/>
      <c r="D39" s="387"/>
      <c r="E39" s="388"/>
      <c r="F39" s="389"/>
      <c r="G39" s="389"/>
      <c r="H39" s="389"/>
      <c r="I39" s="389"/>
      <c r="J39" s="390"/>
      <c r="K39" s="391">
        <f>$C39*1.3</f>
        <v>0</v>
      </c>
      <c r="L39" s="391">
        <f>K39</f>
        <v>0</v>
      </c>
      <c r="M39" s="392">
        <f>K39</f>
        <v>0</v>
      </c>
      <c r="N39" s="356"/>
      <c r="O39" s="391">
        <f>$C39*1.3</f>
        <v>0</v>
      </c>
      <c r="P39" s="391">
        <f>O39</f>
        <v>0</v>
      </c>
      <c r="Q39" s="392">
        <f>O39</f>
        <v>0</v>
      </c>
      <c r="S39" s="391">
        <f>$C39*1.3</f>
        <v>0</v>
      </c>
      <c r="T39" s="391">
        <f>S39</f>
        <v>0</v>
      </c>
      <c r="U39" s="392">
        <f>S39</f>
        <v>0</v>
      </c>
      <c r="W39" s="391">
        <f>$C39*1.3</f>
        <v>0</v>
      </c>
      <c r="X39" s="391">
        <f>W39</f>
        <v>0</v>
      </c>
      <c r="Y39" s="392">
        <f>W39</f>
        <v>0</v>
      </c>
      <c r="AA39" s="391">
        <f>$C39*1.3</f>
        <v>0</v>
      </c>
      <c r="AB39" s="391">
        <f>AA39</f>
        <v>0</v>
      </c>
      <c r="AC39" s="392">
        <f>AA39</f>
        <v>0</v>
      </c>
    </row>
    <row r="40" spans="2:29" ht="14.5" x14ac:dyDescent="0.35">
      <c r="B40" s="393" t="s">
        <v>210</v>
      </c>
      <c r="C40" s="394"/>
      <c r="D40" s="395"/>
      <c r="E40" s="396"/>
      <c r="F40" s="380"/>
      <c r="G40" s="380"/>
      <c r="H40" s="380"/>
      <c r="I40" s="380"/>
      <c r="J40" s="397"/>
      <c r="K40" s="398">
        <f>$E40</f>
        <v>0</v>
      </c>
      <c r="L40" s="398">
        <f>K40</f>
        <v>0</v>
      </c>
      <c r="M40" s="399">
        <f>K40</f>
        <v>0</v>
      </c>
      <c r="N40" s="356"/>
      <c r="O40" s="398">
        <f>$E40</f>
        <v>0</v>
      </c>
      <c r="P40" s="398">
        <f>O40</f>
        <v>0</v>
      </c>
      <c r="Q40" s="399">
        <f>O40</f>
        <v>0</v>
      </c>
      <c r="S40" s="398">
        <f>$E40</f>
        <v>0</v>
      </c>
      <c r="T40" s="398">
        <f>S40</f>
        <v>0</v>
      </c>
      <c r="U40" s="399">
        <f>S40</f>
        <v>0</v>
      </c>
      <c r="W40" s="398">
        <f>$E40</f>
        <v>0</v>
      </c>
      <c r="X40" s="398">
        <f>W40</f>
        <v>0</v>
      </c>
      <c r="Y40" s="399">
        <f>W40</f>
        <v>0</v>
      </c>
      <c r="AA40" s="398">
        <f>$E40</f>
        <v>0</v>
      </c>
      <c r="AB40" s="398">
        <f>AA40</f>
        <v>0</v>
      </c>
      <c r="AC40" s="399">
        <f>AA40</f>
        <v>0</v>
      </c>
    </row>
    <row r="41" spans="2:29" ht="15" thickBot="1" x14ac:dyDescent="0.4">
      <c r="B41" s="400" t="s">
        <v>220</v>
      </c>
      <c r="C41" s="401"/>
      <c r="D41" s="402"/>
      <c r="E41" s="403"/>
      <c r="F41" s="404"/>
      <c r="G41" s="404"/>
      <c r="H41" s="404"/>
      <c r="I41" s="404"/>
      <c r="J41" s="405"/>
      <c r="K41" s="406">
        <f>$C41*1.3</f>
        <v>0</v>
      </c>
      <c r="L41" s="406">
        <f>K41</f>
        <v>0</v>
      </c>
      <c r="M41" s="407">
        <f>K41</f>
        <v>0</v>
      </c>
      <c r="N41" s="356"/>
      <c r="O41" s="406">
        <f>$C41*1.3</f>
        <v>0</v>
      </c>
      <c r="P41" s="406">
        <f>O41</f>
        <v>0</v>
      </c>
      <c r="Q41" s="407">
        <f>O41</f>
        <v>0</v>
      </c>
      <c r="S41" s="406">
        <f>$C41*1.3</f>
        <v>0</v>
      </c>
      <c r="T41" s="406">
        <f>S41</f>
        <v>0</v>
      </c>
      <c r="U41" s="407">
        <f>S41</f>
        <v>0</v>
      </c>
      <c r="W41" s="406">
        <f>$C41*1.3</f>
        <v>0</v>
      </c>
      <c r="X41" s="406">
        <f>W41</f>
        <v>0</v>
      </c>
      <c r="Y41" s="407">
        <f>W41</f>
        <v>0</v>
      </c>
      <c r="AA41" s="406">
        <f>$C41*1.3</f>
        <v>0</v>
      </c>
      <c r="AB41" s="406">
        <f>AA41</f>
        <v>0</v>
      </c>
      <c r="AC41" s="407">
        <f>AA41</f>
        <v>0</v>
      </c>
    </row>
    <row r="42" spans="2:29" ht="15" thickBot="1" x14ac:dyDescent="0.4">
      <c r="B42" s="167" t="s">
        <v>212</v>
      </c>
      <c r="C42" s="380"/>
      <c r="D42" s="381"/>
      <c r="E42" s="380"/>
      <c r="F42" s="382"/>
      <c r="G42" s="374"/>
      <c r="H42" s="374"/>
      <c r="I42" s="374"/>
      <c r="J42" s="383"/>
      <c r="K42" s="384">
        <f t="array" ref="K42">SUM($F42:$J42*$F$13:$J$13)-$K41*(1-IF($D41=0,1,$D41))-$K43*(1-IF($D43=0,1,$D43))</f>
        <v>0</v>
      </c>
      <c r="L42" s="384">
        <f t="array" ref="L42">SUM($F42:$J42*$F$13:$J$13)-$K41*0.99-$K43*0.99</f>
        <v>0</v>
      </c>
      <c r="M42" s="384">
        <f t="array" ref="M42">SUM($F42:$J42*$F$13:$J$13)</f>
        <v>0</v>
      </c>
      <c r="N42" s="384"/>
      <c r="O42" s="384">
        <f t="array" ref="O42">SUM($F42:$J42*$F$9:$J$9)-$K41*(1-IF($D41=0,1,$D41))-$K43*(1-IF($D43=0,1,$D43))</f>
        <v>0</v>
      </c>
      <c r="P42" s="384">
        <f t="array" ref="P42">SUM($F42:$J42*$F$9:$J$9)-$K41*0.99-$K43*0.99</f>
        <v>0</v>
      </c>
      <c r="Q42" s="384">
        <f t="array" ref="Q42">SUM($F42:$J42*$F$9:$J$9)</f>
        <v>0</v>
      </c>
      <c r="S42" s="384">
        <f t="array" ref="S42">SUM($F42:$J42*$F$10:$J$10)-$K41*(1-IF($D41=0,1,$D41))-$K43*(1-IF($D43=0,1,$D43))</f>
        <v>0</v>
      </c>
      <c r="T42" s="384">
        <f t="array" ref="T42">SUM($F42:$J42*$F$10:$J$10)-$K41*0.99-$K43*0.99</f>
        <v>0</v>
      </c>
      <c r="U42" s="384">
        <f t="array" ref="U42">SUM($F42:$J42*$F$10:$J$10)</f>
        <v>0</v>
      </c>
      <c r="W42" s="384">
        <f t="array" ref="W42">SUM($F42:$J42*$F$11:$J$11)-$K41*(1-IF($D41=0,1,$D41))-$K43*(1-IF($D43=0,1,$D43))</f>
        <v>0</v>
      </c>
      <c r="X42" s="384">
        <f t="array" ref="X42">SUM($F42:$J42*$F$11:$J$11)-$K41*0.99-$K43*0.99</f>
        <v>0</v>
      </c>
      <c r="Y42" s="384">
        <f t="array" ref="Y42">SUM($F42:$J42*$F$11:$J$11)</f>
        <v>0</v>
      </c>
      <c r="AA42" s="384">
        <f t="array" ref="AA42">SUM($F42:$J42*$F$12:$J$12)-$K41*(1-IF($D41=0,1,$D41))-$K43*(1-IF($D43=0,1,$D43))</f>
        <v>0</v>
      </c>
      <c r="AB42" s="384">
        <f t="array" ref="AB42">SUM($F42:$J42*$F$12:$J$12)-$K41*0.99-$K43*0.99</f>
        <v>0</v>
      </c>
      <c r="AC42" s="384">
        <f t="array" ref="AC42">SUM($F42:$J42*$F$12:$J$12)</f>
        <v>0</v>
      </c>
    </row>
    <row r="43" spans="2:29" ht="14.5" x14ac:dyDescent="0.35">
      <c r="B43" s="385" t="s">
        <v>221</v>
      </c>
      <c r="C43" s="386"/>
      <c r="D43" s="387"/>
      <c r="E43" s="388"/>
      <c r="F43" s="389"/>
      <c r="G43" s="389"/>
      <c r="H43" s="389"/>
      <c r="I43" s="389"/>
      <c r="J43" s="390"/>
      <c r="K43" s="391">
        <f>$C43*1.3</f>
        <v>0</v>
      </c>
      <c r="L43" s="391">
        <f>K43</f>
        <v>0</v>
      </c>
      <c r="M43" s="392">
        <f>K43</f>
        <v>0</v>
      </c>
      <c r="N43" s="356"/>
      <c r="O43" s="391">
        <f>$C43*1.3</f>
        <v>0</v>
      </c>
      <c r="P43" s="391">
        <f>O43</f>
        <v>0</v>
      </c>
      <c r="Q43" s="392">
        <f>O43</f>
        <v>0</v>
      </c>
      <c r="S43" s="391">
        <f>$C43*1.3</f>
        <v>0</v>
      </c>
      <c r="T43" s="391">
        <f>S43</f>
        <v>0</v>
      </c>
      <c r="U43" s="392">
        <f>S43</f>
        <v>0</v>
      </c>
      <c r="W43" s="391">
        <f>$C43*1.3</f>
        <v>0</v>
      </c>
      <c r="X43" s="391">
        <f>W43</f>
        <v>0</v>
      </c>
      <c r="Y43" s="392">
        <f>W43</f>
        <v>0</v>
      </c>
      <c r="AA43" s="391">
        <f>$C43*1.3</f>
        <v>0</v>
      </c>
      <c r="AB43" s="391">
        <f>AA43</f>
        <v>0</v>
      </c>
      <c r="AC43" s="392">
        <f>AA43</f>
        <v>0</v>
      </c>
    </row>
    <row r="44" spans="2:29" ht="14.5" x14ac:dyDescent="0.35">
      <c r="B44" s="393" t="s">
        <v>210</v>
      </c>
      <c r="C44" s="394"/>
      <c r="D44" s="395"/>
      <c r="E44" s="396"/>
      <c r="F44" s="380"/>
      <c r="G44" s="380"/>
      <c r="H44" s="380"/>
      <c r="I44" s="380"/>
      <c r="J44" s="397"/>
      <c r="K44" s="398">
        <f>$E44</f>
        <v>0</v>
      </c>
      <c r="L44" s="398">
        <f>K44</f>
        <v>0</v>
      </c>
      <c r="M44" s="399">
        <f>K44</f>
        <v>0</v>
      </c>
      <c r="N44" s="356"/>
      <c r="O44" s="398">
        <f>$E44</f>
        <v>0</v>
      </c>
      <c r="P44" s="398">
        <f>O44</f>
        <v>0</v>
      </c>
      <c r="Q44" s="399">
        <f>O44</f>
        <v>0</v>
      </c>
      <c r="S44" s="398">
        <f>$E44</f>
        <v>0</v>
      </c>
      <c r="T44" s="398">
        <f>S44</f>
        <v>0</v>
      </c>
      <c r="U44" s="399">
        <f>S44</f>
        <v>0</v>
      </c>
      <c r="W44" s="398">
        <f>$E44</f>
        <v>0</v>
      </c>
      <c r="X44" s="398">
        <f>W44</f>
        <v>0</v>
      </c>
      <c r="Y44" s="399">
        <f>W44</f>
        <v>0</v>
      </c>
      <c r="AA44" s="398">
        <f>$E44</f>
        <v>0</v>
      </c>
      <c r="AB44" s="398">
        <f>AA44</f>
        <v>0</v>
      </c>
      <c r="AC44" s="399">
        <f>AA44</f>
        <v>0</v>
      </c>
    </row>
    <row r="45" spans="2:29" ht="15" thickBot="1" x14ac:dyDescent="0.4">
      <c r="B45" s="400" t="s">
        <v>222</v>
      </c>
      <c r="C45" s="401"/>
      <c r="D45" s="402"/>
      <c r="E45" s="403"/>
      <c r="F45" s="404"/>
      <c r="G45" s="404"/>
      <c r="H45" s="404"/>
      <c r="I45" s="404"/>
      <c r="J45" s="405"/>
      <c r="K45" s="406">
        <f>$C45*1.3</f>
        <v>0</v>
      </c>
      <c r="L45" s="406">
        <f>K45</f>
        <v>0</v>
      </c>
      <c r="M45" s="407">
        <f>K45</f>
        <v>0</v>
      </c>
      <c r="N45" s="356"/>
      <c r="O45" s="406">
        <f>$C45*1.3</f>
        <v>0</v>
      </c>
      <c r="P45" s="406">
        <f>O45</f>
        <v>0</v>
      </c>
      <c r="Q45" s="407">
        <f>O45</f>
        <v>0</v>
      </c>
      <c r="S45" s="406">
        <f>$C45*1.3</f>
        <v>0</v>
      </c>
      <c r="T45" s="406">
        <f>S45</f>
        <v>0</v>
      </c>
      <c r="U45" s="407">
        <f>S45</f>
        <v>0</v>
      </c>
      <c r="W45" s="406">
        <f>$C45*1.3</f>
        <v>0</v>
      </c>
      <c r="X45" s="406">
        <f>W45</f>
        <v>0</v>
      </c>
      <c r="Y45" s="407">
        <f>W45</f>
        <v>0</v>
      </c>
      <c r="AA45" s="406">
        <f>$C45*1.3</f>
        <v>0</v>
      </c>
      <c r="AB45" s="406">
        <f>AA45</f>
        <v>0</v>
      </c>
      <c r="AC45" s="407">
        <f>AA45</f>
        <v>0</v>
      </c>
    </row>
    <row r="46" spans="2:29" ht="15" thickBot="1" x14ac:dyDescent="0.4">
      <c r="B46" s="167" t="s">
        <v>212</v>
      </c>
      <c r="C46" s="380"/>
      <c r="D46" s="381"/>
      <c r="E46" s="380"/>
      <c r="F46" s="382"/>
      <c r="G46" s="374"/>
      <c r="H46" s="374"/>
      <c r="I46" s="374"/>
      <c r="J46" s="383"/>
      <c r="K46" s="384">
        <f t="array" ref="K46">SUM($F46:$J46*$F$13:$J$13)-$K45*(1-IF($D45=0,1,$D45))-$K47*(1-IF($D47=0,1,$D47))</f>
        <v>0</v>
      </c>
      <c r="L46" s="384">
        <f t="array" ref="L46">SUM($F46:$J46*$F$13:$J$13)-$K45*0.99-$K47*0.99</f>
        <v>0</v>
      </c>
      <c r="M46" s="384">
        <f t="array" ref="M46">SUM($F46:$J46*$F$13:$J$13)</f>
        <v>0</v>
      </c>
      <c r="N46" s="384"/>
      <c r="O46" s="384">
        <f t="array" ref="O46">SUM($F46:$J46*$F$9:$J$9)-$K45*(1-IF($D45=0,1,$D45))-$K47*(1-IF($D47=0,1,$D47))</f>
        <v>0</v>
      </c>
      <c r="P46" s="384">
        <f t="array" ref="P46">SUM($F46:$J46*$F$9:$J$9)-$K45*0.99-$K47*0.99</f>
        <v>0</v>
      </c>
      <c r="Q46" s="384">
        <f t="array" ref="Q46">SUM($F46:$J46*$F$9:$J$9)</f>
        <v>0</v>
      </c>
      <c r="S46" s="384">
        <f t="array" ref="S46">SUM($F46:$J46*$F$10:$J$10)-$K45*(1-IF($D45=0,1,$D45))-$K47*(1-IF($D47=0,1,$D47))</f>
        <v>0</v>
      </c>
      <c r="T46" s="384">
        <f t="array" ref="T46">SUM($F46:$J46*$F$10:$J$10)-$K45*0.99-$K47*0.99</f>
        <v>0</v>
      </c>
      <c r="U46" s="384">
        <f t="array" ref="U46">SUM($F46:$J46*$F$10:$J$10)</f>
        <v>0</v>
      </c>
      <c r="W46" s="384">
        <f t="array" ref="W46">SUM($F46:$J46*$F$11:$J$11)-$K45*(1-IF($D45=0,1,$D45))-$K47*(1-IF($D47=0,1,$D47))</f>
        <v>0</v>
      </c>
      <c r="X46" s="384">
        <f t="array" ref="X46">SUM($F46:$J46*$F$11:$J$11)-$K45*0.99-$K47*0.99</f>
        <v>0</v>
      </c>
      <c r="Y46" s="384">
        <f t="array" ref="Y46">SUM($F46:$J46*$F$11:$J$11)</f>
        <v>0</v>
      </c>
      <c r="AA46" s="384">
        <f t="array" ref="AA46">SUM($F46:$J46*$F$12:$J$12)-$K45*(1-IF($D45=0,1,$D45))-$K47*(1-IF($D47=0,1,$D47))</f>
        <v>0</v>
      </c>
      <c r="AB46" s="384">
        <f t="array" ref="AB46">SUM($F46:$J46*$F$12:$J$12)-$K45*0.99-$K47*0.99</f>
        <v>0</v>
      </c>
      <c r="AC46" s="384">
        <f t="array" ref="AC46">SUM($F46:$J46*$F$12:$J$12)</f>
        <v>0</v>
      </c>
    </row>
    <row r="47" spans="2:29" ht="14.5" x14ac:dyDescent="0.35">
      <c r="B47" s="385" t="s">
        <v>223</v>
      </c>
      <c r="C47" s="386"/>
      <c r="D47" s="387"/>
      <c r="E47" s="388"/>
      <c r="F47" s="389"/>
      <c r="G47" s="389"/>
      <c r="H47" s="389"/>
      <c r="I47" s="389"/>
      <c r="J47" s="390"/>
      <c r="K47" s="391">
        <f>$C47*1.3</f>
        <v>0</v>
      </c>
      <c r="L47" s="391">
        <f>K47</f>
        <v>0</v>
      </c>
      <c r="M47" s="392">
        <f>K47</f>
        <v>0</v>
      </c>
      <c r="N47" s="356"/>
      <c r="O47" s="391">
        <f>$C47*1.3</f>
        <v>0</v>
      </c>
      <c r="P47" s="391">
        <f>O47</f>
        <v>0</v>
      </c>
      <c r="Q47" s="392">
        <f>O47</f>
        <v>0</v>
      </c>
      <c r="S47" s="391">
        <f>$C47*1.3</f>
        <v>0</v>
      </c>
      <c r="T47" s="391">
        <f>S47</f>
        <v>0</v>
      </c>
      <c r="U47" s="392">
        <f>S47</f>
        <v>0</v>
      </c>
      <c r="W47" s="391">
        <f>$C47*1.3</f>
        <v>0</v>
      </c>
      <c r="X47" s="391">
        <f>W47</f>
        <v>0</v>
      </c>
      <c r="Y47" s="392">
        <f>W47</f>
        <v>0</v>
      </c>
      <c r="AA47" s="391">
        <f>$C47*1.3</f>
        <v>0</v>
      </c>
      <c r="AB47" s="391">
        <f>AA47</f>
        <v>0</v>
      </c>
      <c r="AC47" s="392">
        <f>AA47</f>
        <v>0</v>
      </c>
    </row>
    <row r="48" spans="2:29" ht="14.5" x14ac:dyDescent="0.35">
      <c r="B48" s="393" t="s">
        <v>210</v>
      </c>
      <c r="C48" s="394"/>
      <c r="D48" s="395"/>
      <c r="E48" s="396"/>
      <c r="F48" s="380"/>
      <c r="G48" s="380"/>
      <c r="H48" s="380"/>
      <c r="I48" s="380"/>
      <c r="J48" s="397"/>
      <c r="K48" s="398">
        <f>$E48</f>
        <v>0</v>
      </c>
      <c r="L48" s="398">
        <f>K48</f>
        <v>0</v>
      </c>
      <c r="M48" s="399">
        <f>K48</f>
        <v>0</v>
      </c>
      <c r="N48" s="356"/>
      <c r="O48" s="398">
        <f>$E48</f>
        <v>0</v>
      </c>
      <c r="P48" s="398">
        <f>O48</f>
        <v>0</v>
      </c>
      <c r="Q48" s="399">
        <f>O48</f>
        <v>0</v>
      </c>
      <c r="S48" s="398">
        <f>$E48</f>
        <v>0</v>
      </c>
      <c r="T48" s="398">
        <f>S48</f>
        <v>0</v>
      </c>
      <c r="U48" s="399">
        <f>S48</f>
        <v>0</v>
      </c>
      <c r="W48" s="398">
        <f>$E48</f>
        <v>0</v>
      </c>
      <c r="X48" s="398">
        <f>W48</f>
        <v>0</v>
      </c>
      <c r="Y48" s="399">
        <f>W48</f>
        <v>0</v>
      </c>
      <c r="AA48" s="398">
        <f>$E48</f>
        <v>0</v>
      </c>
      <c r="AB48" s="398">
        <f>AA48</f>
        <v>0</v>
      </c>
      <c r="AC48" s="399">
        <f>AA48</f>
        <v>0</v>
      </c>
    </row>
    <row r="49" spans="2:29" ht="15" thickBot="1" x14ac:dyDescent="0.4">
      <c r="B49" s="400" t="s">
        <v>224</v>
      </c>
      <c r="C49" s="401"/>
      <c r="D49" s="402"/>
      <c r="E49" s="403"/>
      <c r="F49" s="404"/>
      <c r="G49" s="404"/>
      <c r="H49" s="404"/>
      <c r="I49" s="404"/>
      <c r="J49" s="405"/>
      <c r="K49" s="406">
        <f>$C49*1.3</f>
        <v>0</v>
      </c>
      <c r="L49" s="406">
        <f>K49</f>
        <v>0</v>
      </c>
      <c r="M49" s="407">
        <f>K49</f>
        <v>0</v>
      </c>
      <c r="N49" s="356"/>
      <c r="O49" s="406">
        <f>$C49*1.3</f>
        <v>0</v>
      </c>
      <c r="P49" s="406">
        <f>O49</f>
        <v>0</v>
      </c>
      <c r="Q49" s="407">
        <f>O49</f>
        <v>0</v>
      </c>
      <c r="S49" s="406">
        <f>$C49*1.3</f>
        <v>0</v>
      </c>
      <c r="T49" s="406">
        <f>S49</f>
        <v>0</v>
      </c>
      <c r="U49" s="407">
        <f>S49</f>
        <v>0</v>
      </c>
      <c r="W49" s="406">
        <f>$C49*1.3</f>
        <v>0</v>
      </c>
      <c r="X49" s="406">
        <f>W49</f>
        <v>0</v>
      </c>
      <c r="Y49" s="407">
        <f>W49</f>
        <v>0</v>
      </c>
      <c r="AA49" s="406">
        <f>$C49*1.3</f>
        <v>0</v>
      </c>
      <c r="AB49" s="406">
        <f>AA49</f>
        <v>0</v>
      </c>
      <c r="AC49" s="407">
        <f>AA49</f>
        <v>0</v>
      </c>
    </row>
    <row r="50" spans="2:29" ht="15" thickBot="1" x14ac:dyDescent="0.4">
      <c r="B50" s="167" t="s">
        <v>212</v>
      </c>
      <c r="C50" s="380"/>
      <c r="D50" s="381"/>
      <c r="E50" s="380"/>
      <c r="F50" s="382"/>
      <c r="G50" s="374"/>
      <c r="H50" s="374"/>
      <c r="I50" s="374"/>
      <c r="J50" s="383"/>
      <c r="K50" s="384">
        <f t="array" ref="K50">SUM($F50:$J50*$F$13:$J$13)-$K49*(1-IF($D49=0,1,$D49))-$K51*(1-IF($D51=0,1,$D51))</f>
        <v>0</v>
      </c>
      <c r="L50" s="384">
        <f t="array" ref="L50">SUM($F50:$J50*$F$13:$J$13)-$K49*0.99-$K51*0.99</f>
        <v>0</v>
      </c>
      <c r="M50" s="384">
        <f t="array" ref="M50">SUM($F50:$J50*$F$13:$J$13)</f>
        <v>0</v>
      </c>
      <c r="N50" s="384"/>
      <c r="O50" s="384">
        <f t="array" ref="O50">SUM($F50:$J50*$F$9:$J$9)-$K49*(1-IF($D49=0,1,$D49))-$K51*(1-IF($D51=0,1,$D51))</f>
        <v>0</v>
      </c>
      <c r="P50" s="384">
        <f t="array" ref="P50">SUM($F50:$J50*$F$9:$J$9)-$K49*0.99-$K51*0.99</f>
        <v>0</v>
      </c>
      <c r="Q50" s="384">
        <f t="array" ref="Q50">SUM($F50:$J50*$F$9:$J$9)</f>
        <v>0</v>
      </c>
      <c r="S50" s="384">
        <f t="array" ref="S50">SUM($F50:$J50*$F$10:$J$10)-$K49*(1-IF($D49=0,1,$D49))-$K51*(1-IF($D51=0,1,$D51))</f>
        <v>0</v>
      </c>
      <c r="T50" s="384">
        <f t="array" ref="T50">SUM($F50:$J50*$F$10:$J$10)-$K49*0.99-$K51*0.99</f>
        <v>0</v>
      </c>
      <c r="U50" s="384">
        <f t="array" ref="U50">SUM($F50:$J50*$F$10:$J$10)</f>
        <v>0</v>
      </c>
      <c r="W50" s="384">
        <f t="array" ref="W50">SUM($F50:$J50*$F$11:$J$11)-$K49*(1-IF($D49=0,1,$D49))-$K51*(1-IF($D51=0,1,$D51))</f>
        <v>0</v>
      </c>
      <c r="X50" s="384">
        <f t="array" ref="X50">SUM($F50:$J50*$F$11:$J$11)-$K49*0.99-$K51*0.99</f>
        <v>0</v>
      </c>
      <c r="Y50" s="384">
        <f t="array" ref="Y50">SUM($F50:$J50*$F$11:$J$11)</f>
        <v>0</v>
      </c>
      <c r="AA50" s="384">
        <f t="array" ref="AA50">SUM($F50:$J50*$F$12:$J$12)-$K49*(1-IF($D49=0,1,$D49))-$K51*(1-IF($D51=0,1,$D51))</f>
        <v>0</v>
      </c>
      <c r="AB50" s="384">
        <f t="array" ref="AB50">SUM($F50:$J50*$F$12:$J$12)-$K49*0.99-$K51*0.99</f>
        <v>0</v>
      </c>
      <c r="AC50" s="384">
        <f t="array" ref="AC50">SUM($F50:$J50*$F$12:$J$12)</f>
        <v>0</v>
      </c>
    </row>
    <row r="51" spans="2:29" ht="14.5" x14ac:dyDescent="0.35">
      <c r="B51" s="385" t="s">
        <v>225</v>
      </c>
      <c r="C51" s="386"/>
      <c r="D51" s="387"/>
      <c r="E51" s="388"/>
      <c r="F51" s="389"/>
      <c r="G51" s="389"/>
      <c r="H51" s="389"/>
      <c r="I51" s="389"/>
      <c r="J51" s="390"/>
      <c r="K51" s="391">
        <f>$C51*1.3</f>
        <v>0</v>
      </c>
      <c r="L51" s="391">
        <f>K51</f>
        <v>0</v>
      </c>
      <c r="M51" s="392">
        <f>K51</f>
        <v>0</v>
      </c>
      <c r="N51" s="356"/>
      <c r="O51" s="391">
        <f>$C51*1.3</f>
        <v>0</v>
      </c>
      <c r="P51" s="391">
        <f>O51</f>
        <v>0</v>
      </c>
      <c r="Q51" s="392">
        <f>O51</f>
        <v>0</v>
      </c>
      <c r="S51" s="391">
        <f>$C51*1.3</f>
        <v>0</v>
      </c>
      <c r="T51" s="391">
        <f>S51</f>
        <v>0</v>
      </c>
      <c r="U51" s="392">
        <f>S51</f>
        <v>0</v>
      </c>
      <c r="W51" s="391">
        <f>$C51*1.3</f>
        <v>0</v>
      </c>
      <c r="X51" s="391">
        <f>W51</f>
        <v>0</v>
      </c>
      <c r="Y51" s="392">
        <f>W51</f>
        <v>0</v>
      </c>
      <c r="AA51" s="391">
        <f>$C51*1.3</f>
        <v>0</v>
      </c>
      <c r="AB51" s="391">
        <f>AA51</f>
        <v>0</v>
      </c>
      <c r="AC51" s="392">
        <f>AA51</f>
        <v>0</v>
      </c>
    </row>
    <row r="52" spans="2:29" ht="14.5" x14ac:dyDescent="0.35">
      <c r="B52" s="393" t="s">
        <v>210</v>
      </c>
      <c r="C52" s="394"/>
      <c r="D52" s="395"/>
      <c r="E52" s="396"/>
      <c r="F52" s="380"/>
      <c r="G52" s="380"/>
      <c r="H52" s="380"/>
      <c r="I52" s="380"/>
      <c r="J52" s="397"/>
      <c r="K52" s="398">
        <f>$E52</f>
        <v>0</v>
      </c>
      <c r="L52" s="398">
        <f>K52</f>
        <v>0</v>
      </c>
      <c r="M52" s="399">
        <f>K52</f>
        <v>0</v>
      </c>
      <c r="N52" s="356"/>
      <c r="O52" s="398">
        <f>$E52</f>
        <v>0</v>
      </c>
      <c r="P52" s="398">
        <f>O52</f>
        <v>0</v>
      </c>
      <c r="Q52" s="399">
        <f>O52</f>
        <v>0</v>
      </c>
      <c r="S52" s="398">
        <f>$E52</f>
        <v>0</v>
      </c>
      <c r="T52" s="398">
        <f>S52</f>
        <v>0</v>
      </c>
      <c r="U52" s="399">
        <f>S52</f>
        <v>0</v>
      </c>
      <c r="W52" s="398">
        <f>$E52</f>
        <v>0</v>
      </c>
      <c r="X52" s="398">
        <f>W52</f>
        <v>0</v>
      </c>
      <c r="Y52" s="399">
        <f>W52</f>
        <v>0</v>
      </c>
      <c r="AA52" s="398">
        <f>$E52</f>
        <v>0</v>
      </c>
      <c r="AB52" s="398">
        <f>AA52</f>
        <v>0</v>
      </c>
      <c r="AC52" s="399">
        <f>AA52</f>
        <v>0</v>
      </c>
    </row>
    <row r="53" spans="2:29" ht="15" thickBot="1" x14ac:dyDescent="0.4">
      <c r="B53" s="400" t="s">
        <v>226</v>
      </c>
      <c r="C53" s="401"/>
      <c r="D53" s="402"/>
      <c r="E53" s="403"/>
      <c r="F53" s="404"/>
      <c r="G53" s="404"/>
      <c r="H53" s="404"/>
      <c r="I53" s="404"/>
      <c r="J53" s="405"/>
      <c r="K53" s="406">
        <f>$C53*1.3</f>
        <v>0</v>
      </c>
      <c r="L53" s="406">
        <f>K53</f>
        <v>0</v>
      </c>
      <c r="M53" s="407">
        <f>K53</f>
        <v>0</v>
      </c>
      <c r="N53" s="356"/>
      <c r="O53" s="406">
        <f>$C53*1.3</f>
        <v>0</v>
      </c>
      <c r="P53" s="406">
        <f>O53</f>
        <v>0</v>
      </c>
      <c r="Q53" s="407">
        <f>O53</f>
        <v>0</v>
      </c>
      <c r="S53" s="406">
        <f>$C53*1.3</f>
        <v>0</v>
      </c>
      <c r="T53" s="406">
        <f>S53</f>
        <v>0</v>
      </c>
      <c r="U53" s="407">
        <f>S53</f>
        <v>0</v>
      </c>
      <c r="W53" s="406">
        <f>$C53*1.3</f>
        <v>0</v>
      </c>
      <c r="X53" s="406">
        <f>W53</f>
        <v>0</v>
      </c>
      <c r="Y53" s="407">
        <f>W53</f>
        <v>0</v>
      </c>
      <c r="AA53" s="406">
        <f>$C53*1.3</f>
        <v>0</v>
      </c>
      <c r="AB53" s="406">
        <f>AA53</f>
        <v>0</v>
      </c>
      <c r="AC53" s="407">
        <f>AA53</f>
        <v>0</v>
      </c>
    </row>
    <row r="54" spans="2:29" ht="15" thickBot="1" x14ac:dyDescent="0.4">
      <c r="B54" s="167" t="s">
        <v>212</v>
      </c>
      <c r="C54" s="380"/>
      <c r="D54" s="381"/>
      <c r="E54" s="380"/>
      <c r="F54" s="382"/>
      <c r="G54" s="374"/>
      <c r="H54" s="374"/>
      <c r="I54" s="374"/>
      <c r="J54" s="383"/>
      <c r="K54" s="384">
        <f t="array" ref="K54">SUM($F54:$J54*$F$13:$J$13)-$K53*(1-IF($D53=0,1,$D53))-$K55*(1-IF($D55=0,1,$D55))</f>
        <v>0</v>
      </c>
      <c r="L54" s="384">
        <f t="array" ref="L54">SUM($F54:$J54*$F$13:$J$13)-$K53*0.99-$K55*0.99</f>
        <v>0</v>
      </c>
      <c r="M54" s="384">
        <f t="array" ref="M54">SUM($F54:$J54*$F$13:$J$13)</f>
        <v>0</v>
      </c>
      <c r="N54" s="384"/>
      <c r="O54" s="384">
        <f t="array" ref="O54">SUM($F54:$J54*$F$9:$J$9)-$K53*(1-IF($D53=0,1,$D53))-$K55*(1-IF($D55=0,1,$D55))</f>
        <v>0</v>
      </c>
      <c r="P54" s="384">
        <f t="array" ref="P54">SUM($F54:$J54*$F$9:$J$9)-$K53*0.99-$K55*0.99</f>
        <v>0</v>
      </c>
      <c r="Q54" s="384">
        <f t="array" ref="Q54">SUM($F54:$J54*$F$9:$J$9)</f>
        <v>0</v>
      </c>
      <c r="S54" s="384">
        <f t="array" ref="S54">SUM($F54:$J54*$F$10:$J$10)-$K53*(1-IF($D53=0,1,$D53))-$K55*(1-IF($D55=0,1,$D55))</f>
        <v>0</v>
      </c>
      <c r="T54" s="384">
        <f t="array" ref="T54">SUM($F54:$J54*$F$10:$J$10)-$K53*0.99-$K55*0.99</f>
        <v>0</v>
      </c>
      <c r="U54" s="384">
        <f t="array" ref="U54">SUM($F54:$J54*$F$10:$J$10)</f>
        <v>0</v>
      </c>
      <c r="W54" s="384">
        <f t="array" ref="W54">SUM($F54:$J54*$F$11:$J$11)-$K53*(1-IF($D53=0,1,$D53))-$K55*(1-IF($D55=0,1,$D55))</f>
        <v>0</v>
      </c>
      <c r="X54" s="384">
        <f t="array" ref="X54">SUM($F54:$J54*$F$11:$J$11)-$K53*0.99-$K55*0.99</f>
        <v>0</v>
      </c>
      <c r="Y54" s="384">
        <f t="array" ref="Y54">SUM($F54:$J54*$F$11:$J$11)</f>
        <v>0</v>
      </c>
      <c r="AA54" s="384">
        <f t="array" ref="AA54">SUM($F54:$J54*$F$12:$J$12)-$K53*(1-IF($D53=0,1,$D53))-$K55*(1-IF($D55=0,1,$D55))</f>
        <v>0</v>
      </c>
      <c r="AB54" s="384">
        <f t="array" ref="AB54">SUM($F54:$J54*$F$12:$J$12)-$K53*0.99-$K55*0.99</f>
        <v>0</v>
      </c>
      <c r="AC54" s="384">
        <f t="array" ref="AC54">SUM($F54:$J54*$F$12:$J$12)</f>
        <v>0</v>
      </c>
    </row>
    <row r="55" spans="2:29" ht="14.5" x14ac:dyDescent="0.35">
      <c r="B55" s="385" t="s">
        <v>227</v>
      </c>
      <c r="C55" s="386"/>
      <c r="D55" s="387"/>
      <c r="E55" s="388"/>
      <c r="F55" s="389"/>
      <c r="G55" s="389"/>
      <c r="H55" s="389"/>
      <c r="I55" s="389"/>
      <c r="J55" s="390"/>
      <c r="K55" s="391">
        <f>$C55*1.3</f>
        <v>0</v>
      </c>
      <c r="L55" s="391">
        <f>K55</f>
        <v>0</v>
      </c>
      <c r="M55" s="392">
        <f>K55</f>
        <v>0</v>
      </c>
      <c r="N55" s="356"/>
      <c r="O55" s="391">
        <f>$C55*1.3</f>
        <v>0</v>
      </c>
      <c r="P55" s="391">
        <f>O55</f>
        <v>0</v>
      </c>
      <c r="Q55" s="392">
        <f>O55</f>
        <v>0</v>
      </c>
      <c r="S55" s="391">
        <f>$C55*1.3</f>
        <v>0</v>
      </c>
      <c r="T55" s="391">
        <f>S55</f>
        <v>0</v>
      </c>
      <c r="U55" s="392">
        <f>S55</f>
        <v>0</v>
      </c>
      <c r="W55" s="391">
        <f>$C55*1.3</f>
        <v>0</v>
      </c>
      <c r="X55" s="391">
        <f>W55</f>
        <v>0</v>
      </c>
      <c r="Y55" s="392">
        <f>W55</f>
        <v>0</v>
      </c>
      <c r="AA55" s="391">
        <f>$C55*1.3</f>
        <v>0</v>
      </c>
      <c r="AB55" s="391">
        <f>AA55</f>
        <v>0</v>
      </c>
      <c r="AC55" s="392">
        <f>AA55</f>
        <v>0</v>
      </c>
    </row>
    <row r="56" spans="2:29" ht="14.5" x14ac:dyDescent="0.35">
      <c r="B56" s="393" t="s">
        <v>210</v>
      </c>
      <c r="C56" s="394"/>
      <c r="D56" s="395"/>
      <c r="E56" s="396"/>
      <c r="F56" s="380"/>
      <c r="G56" s="380"/>
      <c r="H56" s="380"/>
      <c r="I56" s="380"/>
      <c r="J56" s="397"/>
      <c r="K56" s="398">
        <f>$E56</f>
        <v>0</v>
      </c>
      <c r="L56" s="398">
        <f>K56</f>
        <v>0</v>
      </c>
      <c r="M56" s="399">
        <f>K56</f>
        <v>0</v>
      </c>
      <c r="N56" s="356"/>
      <c r="O56" s="398">
        <f>$E56</f>
        <v>0</v>
      </c>
      <c r="P56" s="398">
        <f>O56</f>
        <v>0</v>
      </c>
      <c r="Q56" s="399">
        <f>O56</f>
        <v>0</v>
      </c>
      <c r="S56" s="398">
        <f>$E56</f>
        <v>0</v>
      </c>
      <c r="T56" s="398">
        <f>S56</f>
        <v>0</v>
      </c>
      <c r="U56" s="399">
        <f>S56</f>
        <v>0</v>
      </c>
      <c r="W56" s="398">
        <f>$E56</f>
        <v>0</v>
      </c>
      <c r="X56" s="398">
        <f>W56</f>
        <v>0</v>
      </c>
      <c r="Y56" s="399">
        <f>W56</f>
        <v>0</v>
      </c>
      <c r="AA56" s="398">
        <f>$E56</f>
        <v>0</v>
      </c>
      <c r="AB56" s="398">
        <f>AA56</f>
        <v>0</v>
      </c>
      <c r="AC56" s="399">
        <f>AA56</f>
        <v>0</v>
      </c>
    </row>
    <row r="57" spans="2:29" ht="15" thickBot="1" x14ac:dyDescent="0.4">
      <c r="B57" s="400" t="s">
        <v>228</v>
      </c>
      <c r="C57" s="401"/>
      <c r="D57" s="402"/>
      <c r="E57" s="403"/>
      <c r="F57" s="404"/>
      <c r="G57" s="404"/>
      <c r="H57" s="404"/>
      <c r="I57" s="404"/>
      <c r="J57" s="405"/>
      <c r="K57" s="406">
        <f>$C57*1.3</f>
        <v>0</v>
      </c>
      <c r="L57" s="406">
        <f>K57</f>
        <v>0</v>
      </c>
      <c r="M57" s="407">
        <f>K57</f>
        <v>0</v>
      </c>
      <c r="N57" s="356"/>
      <c r="O57" s="406">
        <f>$C57*1.3</f>
        <v>0</v>
      </c>
      <c r="P57" s="406">
        <f>O57</f>
        <v>0</v>
      </c>
      <c r="Q57" s="407">
        <f>O57</f>
        <v>0</v>
      </c>
      <c r="S57" s="406">
        <f>$C57*1.3</f>
        <v>0</v>
      </c>
      <c r="T57" s="406">
        <f>S57</f>
        <v>0</v>
      </c>
      <c r="U57" s="407">
        <f>S57</f>
        <v>0</v>
      </c>
      <c r="W57" s="406">
        <f>$C57*1.3</f>
        <v>0</v>
      </c>
      <c r="X57" s="406">
        <f>W57</f>
        <v>0</v>
      </c>
      <c r="Y57" s="407">
        <f>W57</f>
        <v>0</v>
      </c>
      <c r="AA57" s="406">
        <f>$C57*1.3</f>
        <v>0</v>
      </c>
      <c r="AB57" s="406">
        <f>AA57</f>
        <v>0</v>
      </c>
      <c r="AC57" s="407">
        <f>AA57</f>
        <v>0</v>
      </c>
    </row>
    <row r="58" spans="2:29" ht="15" thickBot="1" x14ac:dyDescent="0.4">
      <c r="B58" s="167" t="s">
        <v>212</v>
      </c>
      <c r="C58" s="380"/>
      <c r="D58" s="381"/>
      <c r="E58" s="380"/>
      <c r="F58" s="382"/>
      <c r="G58" s="374"/>
      <c r="H58" s="374"/>
      <c r="I58" s="374"/>
      <c r="J58" s="383"/>
      <c r="K58" s="384">
        <f t="array" ref="K58">SUM($F58:$J58*$F$13:$J$13)-$K57*(1-IF($D57=0,1,$D57))-$K59*(1-IF($D59=0,1,$D59))</f>
        <v>0</v>
      </c>
      <c r="L58" s="384">
        <f t="array" ref="L58">SUM($F58:$J58*$F$13:$J$13)-$K57*0.99-$K59*0.99</f>
        <v>0</v>
      </c>
      <c r="M58" s="384">
        <f t="array" ref="M58">SUM($F58:$J58*$F$13:$J$13)</f>
        <v>0</v>
      </c>
      <c r="N58" s="384"/>
      <c r="O58" s="384">
        <f t="array" ref="O58">SUM($F58:$J58*$F$9:$J$9)-$K57*(1-IF($D57=0,1,$D57))-$K59*(1-IF($D59=0,1,$D59))</f>
        <v>0</v>
      </c>
      <c r="P58" s="384">
        <f t="array" ref="P58">SUM($F58:$J58*$F$9:$J$9)-$K57*0.99-$K59*0.99</f>
        <v>0</v>
      </c>
      <c r="Q58" s="384">
        <f t="array" ref="Q58">SUM($F58:$J58*$F$9:$J$9)</f>
        <v>0</v>
      </c>
      <c r="S58" s="384">
        <f t="array" ref="S58">SUM($F58:$J58*$F$10:$J$10)-$K57*(1-IF($D57=0,1,$D57))-$K59*(1-IF($D59=0,1,$D59))</f>
        <v>0</v>
      </c>
      <c r="T58" s="384">
        <f t="array" ref="T58">SUM($F58:$J58*$F$10:$J$10)-$K57*0.99-$K59*0.99</f>
        <v>0</v>
      </c>
      <c r="U58" s="384">
        <f t="array" ref="U58">SUM($F58:$J58*$F$10:$J$10)</f>
        <v>0</v>
      </c>
      <c r="W58" s="384">
        <f t="array" ref="W58">SUM($F58:$J58*$F$11:$J$11)-$K57*(1-IF($D57=0,1,$D57))-$K59*(1-IF($D59=0,1,$D59))</f>
        <v>0</v>
      </c>
      <c r="X58" s="384">
        <f t="array" ref="X58">SUM($F58:$J58*$F$11:$J$11)-$K57*0.99-$K59*0.99</f>
        <v>0</v>
      </c>
      <c r="Y58" s="384">
        <f t="array" ref="Y58">SUM($F58:$J58*$F$11:$J$11)</f>
        <v>0</v>
      </c>
      <c r="AA58" s="384">
        <f t="array" ref="AA58">SUM($F58:$J58*$F$12:$J$12)-$K57*(1-IF($D57=0,1,$D57))-$K59*(1-IF($D59=0,1,$D59))</f>
        <v>0</v>
      </c>
      <c r="AB58" s="384">
        <f t="array" ref="AB58">SUM($F58:$J58*$F$12:$J$12)-$K57*0.99-$K59*0.99</f>
        <v>0</v>
      </c>
      <c r="AC58" s="384">
        <f t="array" ref="AC58">SUM($F58:$J58*$F$12:$J$12)</f>
        <v>0</v>
      </c>
    </row>
    <row r="59" spans="2:29" ht="15" thickBot="1" x14ac:dyDescent="0.4">
      <c r="B59" s="373" t="s">
        <v>303</v>
      </c>
      <c r="C59" s="374"/>
      <c r="D59" s="375"/>
      <c r="E59" s="376"/>
      <c r="F59" s="376"/>
      <c r="G59" s="376"/>
      <c r="H59" s="376"/>
      <c r="I59" s="376"/>
      <c r="J59" s="377"/>
      <c r="K59" s="378">
        <f>1.3*$C59</f>
        <v>0</v>
      </c>
      <c r="L59" s="378">
        <f>1.3*$C59</f>
        <v>0</v>
      </c>
      <c r="M59" s="379">
        <f>1.3*$C59</f>
        <v>0</v>
      </c>
      <c r="N59" s="356"/>
      <c r="O59" s="378">
        <f>1.3*$C59</f>
        <v>0</v>
      </c>
      <c r="P59" s="378">
        <f>1.3*$C59</f>
        <v>0</v>
      </c>
      <c r="Q59" s="379">
        <f>1.3*$C59</f>
        <v>0</v>
      </c>
      <c r="S59" s="378">
        <f>1.3*$C59</f>
        <v>0</v>
      </c>
      <c r="T59" s="378">
        <f>1.3*$C59</f>
        <v>0</v>
      </c>
      <c r="U59" s="379">
        <f>1.3*$C59</f>
        <v>0</v>
      </c>
      <c r="W59" s="378">
        <f>1.3*$C59</f>
        <v>0</v>
      </c>
      <c r="X59" s="378">
        <f>1.3*$C59</f>
        <v>0</v>
      </c>
      <c r="Y59" s="379">
        <f>1.3*$C59</f>
        <v>0</v>
      </c>
      <c r="AA59" s="378">
        <f>1.3*$C59</f>
        <v>0</v>
      </c>
      <c r="AB59" s="378">
        <f>1.3*$C59</f>
        <v>0</v>
      </c>
      <c r="AC59" s="379">
        <f>1.3*$C59</f>
        <v>0</v>
      </c>
    </row>
  </sheetData>
  <sheetProtection sheet="1" objects="1" scenarios="1"/>
  <mergeCells count="4">
    <mergeCell ref="H3:J3"/>
    <mergeCell ref="H4:J4"/>
    <mergeCell ref="H5:J5"/>
    <mergeCell ref="F7:J7"/>
  </mergeCells>
  <conditionalFormatting sqref="K26:L26 K30:L30 K34:L34 K38:L38 K42:L42 K46:L46 K50:L50 K54:L54 K58:L58">
    <cfRule type="expression" priority="13" stopIfTrue="1">
      <formula>IF(SUM($F26:$J26)=0,TRUE,FALSE)</formula>
    </cfRule>
    <cfRule type="expression" dxfId="9" priority="14" stopIfTrue="1">
      <formula>IF(K26&lt;0.9*($F26*$F$19+$G26*$G$19+$H26*$H$19+$I26*$I$19+$J26*$J$19),TRUE,FALSE)</formula>
    </cfRule>
    <cfRule type="expression" dxfId="8" priority="15">
      <formula>IF(K26&lt;$F26*$F$19+$G26*$G$19+$H26*$H$19+$I26*$I$19+$J26*$J$19,TRUE,FALSE)</formula>
    </cfRule>
  </conditionalFormatting>
  <conditionalFormatting sqref="O26:P26 O30:P30 O34:P34 O38:P38 O42:P42 O46:P46 O50:P50 O54:P54 O58:P58">
    <cfRule type="expression" priority="10" stopIfTrue="1">
      <formula>IF(SUM($F$26:$J$26)=0,TRUE,FALSE)</formula>
    </cfRule>
    <cfRule type="expression" dxfId="7" priority="11" stopIfTrue="1">
      <formula>IF(O26&lt;0.9*($F26*$F$15+$G26*$G$15+$H26*$H$15+$I26*$I$15+$J26*$J$15),TRUE,FALSE)</formula>
    </cfRule>
    <cfRule type="expression" dxfId="6" priority="12">
      <formula>IF(O26&lt;$F26*$F$15+$G26*$G$15+$H26*$H$15+$I26*$I$15+$J26*$J$15,TRUE,FALSE)</formula>
    </cfRule>
  </conditionalFormatting>
  <conditionalFormatting sqref="S26:T26 S30:T30 S34:T34 S38:T38 S42:T42 S46:T46 S50:T50 S54:T54 S58:T58">
    <cfRule type="expression" priority="7" stopIfTrue="1">
      <formula>IF(SUM($F$26:$J$26)=0,TRUE,FALSE)</formula>
    </cfRule>
    <cfRule type="expression" dxfId="5" priority="8" stopIfTrue="1">
      <formula>IF(S26&lt;0.9*($F26*$F$16+$G26*$G$16+$H26*$H$16+$I26*$I$16+$J26*$J$16),TRUE,FALSE)</formula>
    </cfRule>
    <cfRule type="expression" dxfId="4" priority="9">
      <formula>IF(S26&lt;$F26*$F$16+$G26*$G$16+$H26*$H$16+$I26*$I$16+$J26*$J$16,TRUE,FALSE)</formula>
    </cfRule>
  </conditionalFormatting>
  <conditionalFormatting sqref="W26:X26 W30:X30 W34:X34 W38:X38 W42:X42 W46:X46 W50:X50 W54:X54 W58:X58">
    <cfRule type="expression" priority="4" stopIfTrue="1">
      <formula>IF(SUM($F$26:$J$26)=0,TRUE,FALSE)</formula>
    </cfRule>
    <cfRule type="expression" dxfId="3" priority="5" stopIfTrue="1">
      <formula>IF(W26&lt;0.9*($F26*$F$17+$G26*$G$17+$H26*$H$17+$I26*$I$17+$J26*$J$17),TRUE,FALSE)</formula>
    </cfRule>
    <cfRule type="expression" dxfId="2" priority="6">
      <formula>IF(W26&lt;$F26*$F$17+$G26*$G$17+$H26*$H$17+$I26*$I$17+$J26*$J$17,TRUE,FALSE)</formula>
    </cfRule>
  </conditionalFormatting>
  <conditionalFormatting sqref="AA26:AB26 AA30:AB30 AA34:AB34 AA38:AB38 AA42:AB42 AA46:AB46 AA50:AB50 AA54:AB54 AA58:AB58">
    <cfRule type="expression" priority="1" stopIfTrue="1">
      <formula>IF(SUM($F26:$J26)=0,TRUE,FALSE)</formula>
    </cfRule>
    <cfRule type="expression" dxfId="1" priority="2" stopIfTrue="1">
      <formula>IF(AA26&lt;0.9*($F26*$F$18+$G26*$G$18+$H26*$H$18+$I26*$I$18+$J26*$J$18),TRUE,FALSE)</formula>
    </cfRule>
    <cfRule type="expression" dxfId="0" priority="3">
      <formula>IF(AA26&lt;$F$26*$F$18+$G$26*$G$18+$H$26*$H$18+$I$26*$I$18+$J$26*$J$18,TRUE, FALSE)</formula>
    </cfRule>
  </conditionalFormatting>
  <pageMargins left="0.7" right="0.7" top="0.75" bottom="0.75" header="0.3" footer="0.3"/>
  <pageSetup scale="52" orientation="portrait" r:id="rId1"/>
  <drawing r:id="rId2"/>
  <legacyDrawing r:id="rId3"/>
  <controls>
    <mc:AlternateContent xmlns:mc="http://schemas.openxmlformats.org/markup-compatibility/2006">
      <mc:Choice Requires="x14">
        <control shapeId="18434" r:id="rId4" name="CommandButton2">
          <controlPr defaultSize="0" autoLine="0" r:id="rId5">
            <anchor moveWithCells="1">
              <from>
                <xdr:col>4</xdr:col>
                <xdr:colOff>165100</xdr:colOff>
                <xdr:row>3</xdr:row>
                <xdr:rowOff>57150</xdr:rowOff>
              </from>
              <to>
                <xdr:col>6</xdr:col>
                <xdr:colOff>241300</xdr:colOff>
                <xdr:row>5</xdr:row>
                <xdr:rowOff>50800</xdr:rowOff>
              </to>
            </anchor>
          </controlPr>
        </control>
      </mc:Choice>
      <mc:Fallback>
        <control shapeId="18434" r:id="rId4" name="CommandButton2"/>
      </mc:Fallback>
    </mc:AlternateContent>
    <mc:AlternateContent xmlns:mc="http://schemas.openxmlformats.org/markup-compatibility/2006">
      <mc:Choice Requires="x14">
        <control shapeId="18433" r:id="rId6" name="CommandButton1">
          <controlPr defaultSize="0" autoLine="0" r:id="rId7">
            <anchor moveWithCells="1">
              <from>
                <xdr:col>3</xdr:col>
                <xdr:colOff>114300</xdr:colOff>
                <xdr:row>3</xdr:row>
                <xdr:rowOff>57150</xdr:rowOff>
              </from>
              <to>
                <xdr:col>3</xdr:col>
                <xdr:colOff>838200</xdr:colOff>
                <xdr:row>5</xdr:row>
                <xdr:rowOff>82550</xdr:rowOff>
              </to>
            </anchor>
          </controlPr>
        </control>
      </mc:Choice>
      <mc:Fallback>
        <control shapeId="18433" r:id="rId6" name="CommandButton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L28"/>
  <sheetViews>
    <sheetView workbookViewId="0">
      <selection activeCell="C28" sqref="C28"/>
    </sheetView>
  </sheetViews>
  <sheetFormatPr defaultRowHeight="14.5" x14ac:dyDescent="0.35"/>
  <cols>
    <col min="1" max="1" width="15" bestFit="1" customWidth="1"/>
    <col min="2" max="2" width="10.81640625" style="2" bestFit="1" customWidth="1"/>
    <col min="3" max="3" width="9" bestFit="1" customWidth="1"/>
    <col min="4" max="4" width="9.453125" bestFit="1" customWidth="1"/>
    <col min="5" max="5" width="10.453125" bestFit="1" customWidth="1"/>
    <col min="6" max="6" width="80.81640625" bestFit="1" customWidth="1"/>
    <col min="7" max="7" width="10.81640625" customWidth="1"/>
    <col min="8" max="8" width="13.54296875" customWidth="1"/>
    <col min="9" max="10" width="12.54296875" style="2" customWidth="1"/>
    <col min="11" max="12" width="12.54296875" customWidth="1"/>
  </cols>
  <sheetData>
    <row r="1" spans="1:5" x14ac:dyDescent="0.35">
      <c r="A1" s="301" t="s">
        <v>338</v>
      </c>
      <c r="B1" s="301" t="s">
        <v>339</v>
      </c>
      <c r="C1" s="301" t="s">
        <v>340</v>
      </c>
      <c r="D1" s="301" t="s">
        <v>341</v>
      </c>
      <c r="E1" s="301" t="s">
        <v>362</v>
      </c>
    </row>
    <row r="2" spans="1:5" x14ac:dyDescent="0.35">
      <c r="A2" s="315">
        <v>5</v>
      </c>
      <c r="B2" s="315">
        <v>6.5</v>
      </c>
      <c r="C2" s="2"/>
      <c r="D2" s="2"/>
      <c r="E2" s="2"/>
    </row>
    <row r="3" spans="1:5" x14ac:dyDescent="0.35">
      <c r="A3" s="301" t="s">
        <v>363</v>
      </c>
      <c r="B3" s="301" t="s">
        <v>364</v>
      </c>
      <c r="C3" s="301" t="s">
        <v>7</v>
      </c>
      <c r="D3" s="302"/>
    </row>
    <row r="4" spans="1:5" x14ac:dyDescent="0.35">
      <c r="A4" s="315">
        <v>7.1</v>
      </c>
      <c r="B4" s="315">
        <v>10.6</v>
      </c>
      <c r="C4" s="315"/>
      <c r="D4" s="45"/>
    </row>
    <row r="5" spans="1:5" x14ac:dyDescent="0.35">
      <c r="A5" s="45"/>
      <c r="B5" s="45"/>
      <c r="C5" s="45"/>
      <c r="D5" s="45"/>
    </row>
    <row r="6" spans="1:5" x14ac:dyDescent="0.35">
      <c r="A6" s="45"/>
      <c r="B6" s="45"/>
      <c r="C6" s="45"/>
      <c r="D6" s="45"/>
    </row>
    <row r="7" spans="1:5" x14ac:dyDescent="0.35">
      <c r="A7" s="303"/>
      <c r="B7" s="303"/>
      <c r="C7" s="303"/>
      <c r="D7" s="303"/>
    </row>
    <row r="8" spans="1:5" x14ac:dyDescent="0.35">
      <c r="A8" s="304"/>
      <c r="B8" s="304"/>
      <c r="C8" s="304"/>
      <c r="D8" s="304"/>
    </row>
    <row r="9" spans="1:5" x14ac:dyDescent="0.35">
      <c r="A9" s="2"/>
      <c r="C9" s="2"/>
      <c r="D9" s="2"/>
    </row>
    <row r="10" spans="1:5" x14ac:dyDescent="0.35">
      <c r="A10" s="305" t="s">
        <v>342</v>
      </c>
      <c r="B10" s="301" t="s">
        <v>343</v>
      </c>
      <c r="C10" s="85"/>
      <c r="D10" s="85"/>
    </row>
    <row r="11" spans="1:5" x14ac:dyDescent="0.35">
      <c r="A11" t="s">
        <v>344</v>
      </c>
      <c r="B11" s="310" t="s">
        <v>345</v>
      </c>
      <c r="C11" s="2"/>
      <c r="D11" s="2"/>
    </row>
    <row r="12" spans="1:5" x14ac:dyDescent="0.35">
      <c r="A12" s="306" t="s">
        <v>346</v>
      </c>
      <c r="B12" s="306" t="s">
        <v>347</v>
      </c>
    </row>
    <row r="13" spans="1:5" x14ac:dyDescent="0.35">
      <c r="A13" s="307" t="s">
        <v>348</v>
      </c>
      <c r="B13" s="307" t="s">
        <v>349</v>
      </c>
    </row>
    <row r="14" spans="1:5" x14ac:dyDescent="0.35">
      <c r="A14" s="307" t="s">
        <v>350</v>
      </c>
      <c r="B14" s="307" t="s">
        <v>351</v>
      </c>
    </row>
    <row r="15" spans="1:5" x14ac:dyDescent="0.35">
      <c r="A15" s="307" t="s">
        <v>352</v>
      </c>
      <c r="B15" s="307" t="s">
        <v>353</v>
      </c>
    </row>
    <row r="16" spans="1:5" x14ac:dyDescent="0.35">
      <c r="A16" s="308" t="s">
        <v>354</v>
      </c>
      <c r="B16" s="308" t="s">
        <v>355</v>
      </c>
    </row>
    <row r="17" spans="1:12" x14ac:dyDescent="0.35">
      <c r="A17" s="309" t="s">
        <v>356</v>
      </c>
      <c r="B17" s="309" t="s">
        <v>357</v>
      </c>
    </row>
    <row r="18" spans="1:12" x14ac:dyDescent="0.35">
      <c r="A18" s="310" t="s">
        <v>358</v>
      </c>
      <c r="B18" s="310" t="s">
        <v>359</v>
      </c>
    </row>
    <row r="19" spans="1:12" x14ac:dyDescent="0.35">
      <c r="A19" s="311" t="s">
        <v>360</v>
      </c>
      <c r="B19" s="311" t="s">
        <v>365</v>
      </c>
    </row>
    <row r="20" spans="1:12" x14ac:dyDescent="0.35">
      <c r="A20" s="310" t="s">
        <v>361</v>
      </c>
      <c r="B20" s="311" t="s">
        <v>365</v>
      </c>
    </row>
    <row r="23" spans="1:12" x14ac:dyDescent="0.35">
      <c r="A23" s="305" t="s">
        <v>420</v>
      </c>
      <c r="F23" s="2" t="s">
        <v>146</v>
      </c>
      <c r="G23" t="s">
        <v>429</v>
      </c>
      <c r="H23" t="s">
        <v>427</v>
      </c>
      <c r="I23" s="2" t="s">
        <v>425</v>
      </c>
      <c r="J23" s="2" t="s">
        <v>426</v>
      </c>
      <c r="K23" s="2" t="s">
        <v>425</v>
      </c>
      <c r="L23" s="2" t="s">
        <v>426</v>
      </c>
    </row>
    <row r="24" spans="1:12" x14ac:dyDescent="0.35">
      <c r="A24" t="s">
        <v>421</v>
      </c>
      <c r="B24" s="2" t="b">
        <f>IF(Quote!B20&gt;3,TRUE,FALSE)</f>
        <v>1</v>
      </c>
      <c r="F24" s="2" t="s">
        <v>428</v>
      </c>
      <c r="G24" s="2" t="s">
        <v>430</v>
      </c>
      <c r="H24" s="2" t="b">
        <f ca="1">AND(IF(I24="",TRUE,INDIRECT(I24)),IF(J24="",TRUE,NOT(INDIRECT(J24))),IF(K24="",TRUE,INDIRECT(K24)),IF(L24="",TRUE,NOT(INDIRECT(L24))))</f>
        <v>1</v>
      </c>
    </row>
    <row r="25" spans="1:12" x14ac:dyDescent="0.35">
      <c r="A25" t="s">
        <v>422</v>
      </c>
      <c r="B25" s="2" t="b">
        <f>CHOOSE(Quote!B20,0,TRUE,0,TRUE,0,TRUE,TRUE,0)</f>
        <v>1</v>
      </c>
    </row>
    <row r="26" spans="1:12" x14ac:dyDescent="0.35">
      <c r="A26" t="s">
        <v>423</v>
      </c>
    </row>
    <row r="27" spans="1:12" x14ac:dyDescent="0.35">
      <c r="A27" t="s">
        <v>431</v>
      </c>
    </row>
    <row r="28" spans="1:12" x14ac:dyDescent="0.35">
      <c r="A28" t="s">
        <v>424</v>
      </c>
      <c r="B28" s="2" t="b">
        <f>IF(Quote!B50=2,TRUE,FALSE)</f>
        <v>0</v>
      </c>
    </row>
  </sheetData>
  <dataValidations count="1">
    <dataValidation type="list" allowBlank="1" showInputMessage="1" showErrorMessage="1" sqref="I24:L24" xr:uid="{00000000-0002-0000-0B00-000000000000}">
      <formula1>$A$24:$A$37</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29</vt:i4>
      </vt:variant>
    </vt:vector>
  </HeadingPairs>
  <TitlesOfParts>
    <vt:vector size="42" baseType="lpstr">
      <vt:lpstr>Quote</vt:lpstr>
      <vt:lpstr>QC-Xsec</vt:lpstr>
      <vt:lpstr>FA Report</vt:lpstr>
      <vt:lpstr>Sheet2</vt:lpstr>
      <vt:lpstr>Sheet3</vt:lpstr>
      <vt:lpstr>kwickfit</vt:lpstr>
      <vt:lpstr>Order</vt:lpstr>
      <vt:lpstr>Gold Pricing</vt:lpstr>
      <vt:lpstr>Formal Quote</vt:lpstr>
      <vt:lpstr>Formal Quote (3)</vt:lpstr>
      <vt:lpstr>Formal Quote (2)</vt:lpstr>
      <vt:lpstr>Stack-Up</vt:lpstr>
      <vt:lpstr>Configuration</vt:lpstr>
      <vt:lpstr>Array_X</vt:lpstr>
      <vt:lpstr>Array_Y</vt:lpstr>
      <vt:lpstr>Board_X</vt:lpstr>
      <vt:lpstr>Board_Y</vt:lpstr>
      <vt:lpstr>flat_adder</vt:lpstr>
      <vt:lpstr>Inner_Cu</vt:lpstr>
      <vt:lpstr>Material_Type</vt:lpstr>
      <vt:lpstr>min_adder</vt:lpstr>
      <vt:lpstr>Multilayer</vt:lpstr>
      <vt:lpstr>Outer_Cu</vt:lpstr>
      <vt:lpstr>per_panel</vt:lpstr>
      <vt:lpstr>per_piece</vt:lpstr>
      <vt:lpstr>percent_adder</vt:lpstr>
      <vt:lpstr>'FA Report'!Print_Area</vt:lpstr>
      <vt:lpstr>'Formal Quote'!Print_Area</vt:lpstr>
      <vt:lpstr>'Formal Quote (2)'!Print_Area</vt:lpstr>
      <vt:lpstr>'Formal Quote (3)'!Print_Area</vt:lpstr>
      <vt:lpstr>'Gold Pricing'!Print_Area</vt:lpstr>
      <vt:lpstr>kwickfit!Print_Area</vt:lpstr>
      <vt:lpstr>Order!Print_Area</vt:lpstr>
      <vt:lpstr>Quote!Print_Area</vt:lpstr>
      <vt:lpstr>Sheet2!Print_Area</vt:lpstr>
      <vt:lpstr>Sheet3!Print_Area</vt:lpstr>
      <vt:lpstr>'Stack-Up'!Print_Area</vt:lpstr>
      <vt:lpstr>test_range</vt:lpstr>
      <vt:lpstr>Thickness</vt:lpstr>
      <vt:lpstr>tooling</vt:lpstr>
      <vt:lpstr>ups</vt:lpstr>
      <vt:lpstr>Via_Plug</vt:lpstr>
    </vt:vector>
  </TitlesOfParts>
  <Company>Amitron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tyson</dc:creator>
  <cp:lastModifiedBy>Sean Randunne</cp:lastModifiedBy>
  <cp:lastPrinted>2023-02-21T17:26:14Z</cp:lastPrinted>
  <dcterms:created xsi:type="dcterms:W3CDTF">2012-12-07T21:15:35Z</dcterms:created>
  <dcterms:modified xsi:type="dcterms:W3CDTF">2023-12-13T16:28:00Z</dcterms:modified>
</cp:coreProperties>
</file>